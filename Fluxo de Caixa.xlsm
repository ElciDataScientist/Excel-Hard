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Elci\Downloads\"/>
    </mc:Choice>
  </mc:AlternateContent>
  <xr:revisionPtr revIDLastSave="0" documentId="13_ncr:1_{7DC8F1E5-F17B-492E-9789-1E586B83A55B}" xr6:coauthVersionLast="36" xr6:coauthVersionMax="47" xr10:uidLastSave="{00000000-0000-0000-0000-000000000000}"/>
  <bookViews>
    <workbookView xWindow="-105" yWindow="-105" windowWidth="23250" windowHeight="12450" activeTab="1" xr2:uid="{00000000-000D-0000-FFFF-FFFF00000000}"/>
  </bookViews>
  <sheets>
    <sheet name="Fluxo de Caixa" sheetId="2" r:id="rId1"/>
    <sheet name="Resumo" sheetId="3" r:id="rId2"/>
    <sheet name="Auxiliar" sheetId="4" state="hidden" r:id="rId3"/>
    <sheet name="Cadastros" sheetId="5" r:id="rId4"/>
  </sheets>
  <definedNames>
    <definedName name="CentroDeCustos">Cadastros!$D$2:$D$6</definedName>
    <definedName name="Contas">Cadastros!$F$2:$F$4</definedName>
    <definedName name="Entradas">Cadastros!$A$2:$A$5</definedName>
    <definedName name="Favorecidos">Cadastros!$E$2:$E$4</definedName>
    <definedName name="IntervaloData">OFFSET(Resumo!$A$20,,,DATEDIF(Resumo!$A$20,TODAY(),"m")+1)</definedName>
    <definedName name="IntervaloEntradas">OFFSET(Resumo!$B$20,,,DATEDIF(Resumo!$A$20,TODAY(),"m")+1)</definedName>
    <definedName name="IntervaloSaidas">OFFSET(Resumo!$C$20,,,DATEDIF(Resumo!$A$20,TODAY(),"m")+1)</definedName>
    <definedName name="Saídas">Cadastros!$B$2:$B$11</definedName>
    <definedName name="Transferências">Cadastros!$C$2:$C$3</definedName>
  </definedNames>
  <calcPr calcId="191029"/>
  <extLst>
    <ext uri="GoogleSheetsCustomDataVersion1">
      <go:sheetsCustomData xmlns:go="http://customooxmlschemas.google.com/" r:id="rId10" roundtripDataSignature="AMtx7mgvqjMjva6+V/HpJyaUxNDa/7SFZA=="/>
    </ext>
  </extLst>
</workbook>
</file>

<file path=xl/calcChain.xml><?xml version="1.0" encoding="utf-8"?>
<calcChain xmlns="http://schemas.openxmlformats.org/spreadsheetml/2006/main">
  <c r="A20" i="3" l="1"/>
  <c r="A21" i="3" s="1"/>
  <c r="B21" i="3" s="1"/>
  <c r="G10" i="3"/>
  <c r="B10" i="3"/>
  <c r="K7" i="2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L6" i="2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103" i="2" s="1"/>
  <c r="L104" i="2" s="1"/>
  <c r="K5" i="2"/>
  <c r="K6" i="2" s="1"/>
  <c r="K4" i="2"/>
  <c r="L3" i="2"/>
  <c r="L4" i="2" s="1"/>
  <c r="L5" i="2" s="1"/>
  <c r="K3" i="2"/>
  <c r="L2" i="2"/>
  <c r="K2" i="2"/>
  <c r="L10" i="3" l="1"/>
  <c r="C21" i="3"/>
  <c r="D21" i="3" s="1"/>
  <c r="A22" i="3"/>
  <c r="B20" i="3"/>
  <c r="C20" i="3"/>
  <c r="A23" i="3" l="1"/>
  <c r="B22" i="3"/>
  <c r="C22" i="3"/>
  <c r="D20" i="3"/>
  <c r="E20" i="3" s="1"/>
  <c r="E21" i="3" s="1"/>
  <c r="D22" i="3" l="1"/>
  <c r="E22" i="3" s="1"/>
  <c r="A24" i="3"/>
  <c r="C23" i="3"/>
  <c r="B23" i="3"/>
  <c r="D23" i="3" l="1"/>
  <c r="E23" i="3" s="1"/>
  <c r="C24" i="3"/>
  <c r="B24" i="3"/>
  <c r="A25" i="3"/>
  <c r="A26" i="3" l="1"/>
  <c r="C25" i="3"/>
  <c r="B25" i="3"/>
  <c r="D24" i="3"/>
  <c r="E24" i="3" s="1"/>
  <c r="D25" i="3" l="1"/>
  <c r="E25" i="3" s="1"/>
  <c r="A27" i="3"/>
  <c r="C26" i="3"/>
  <c r="B26" i="3"/>
  <c r="D26" i="3" l="1"/>
  <c r="E26" i="3" s="1"/>
  <c r="B27" i="3"/>
  <c r="A28" i="3"/>
  <c r="C27" i="3"/>
  <c r="A29" i="3" l="1"/>
  <c r="B28" i="3"/>
  <c r="C28" i="3"/>
  <c r="D27" i="3"/>
  <c r="E27" i="3" s="1"/>
  <c r="D28" i="3" l="1"/>
  <c r="E28" i="3" s="1"/>
  <c r="A30" i="3"/>
  <c r="C29" i="3"/>
  <c r="B29" i="3"/>
  <c r="D29" i="3" l="1"/>
  <c r="E29" i="3"/>
  <c r="C30" i="3"/>
  <c r="B30" i="3"/>
  <c r="A31" i="3"/>
  <c r="D30" i="3" l="1"/>
  <c r="E30" i="3" s="1"/>
  <c r="A32" i="3"/>
  <c r="B31" i="3"/>
  <c r="C31" i="3"/>
  <c r="A33" i="3" l="1"/>
  <c r="B32" i="3"/>
  <c r="C32" i="3"/>
  <c r="D31" i="3"/>
  <c r="E31" i="3" s="1"/>
  <c r="D32" i="3" l="1"/>
  <c r="E32" i="3" s="1"/>
  <c r="A34" i="3"/>
  <c r="C33" i="3"/>
  <c r="B33" i="3"/>
  <c r="D33" i="3" l="1"/>
  <c r="E33" i="3" s="1"/>
  <c r="A35" i="3"/>
  <c r="C34" i="3"/>
  <c r="B34" i="3"/>
  <c r="D34" i="3" l="1"/>
  <c r="E34" i="3" s="1"/>
  <c r="A36" i="3"/>
  <c r="B35" i="3"/>
  <c r="C35" i="3"/>
  <c r="C36" i="3" l="1"/>
  <c r="B36" i="3"/>
  <c r="A37" i="3"/>
  <c r="D35" i="3"/>
  <c r="E35" i="3" s="1"/>
  <c r="D36" i="3" l="1"/>
  <c r="E36" i="3"/>
  <c r="B37" i="3"/>
  <c r="A38" i="3"/>
  <c r="C37" i="3"/>
  <c r="A39" i="3" l="1"/>
  <c r="C38" i="3"/>
  <c r="B38" i="3"/>
  <c r="D37" i="3"/>
  <c r="E37" i="3" s="1"/>
  <c r="D38" i="3" l="1"/>
  <c r="E38" i="3"/>
  <c r="A40" i="3"/>
  <c r="C39" i="3"/>
  <c r="B39" i="3"/>
  <c r="D39" i="3" l="1"/>
  <c r="C40" i="3"/>
  <c r="A41" i="3"/>
  <c r="B40" i="3"/>
  <c r="E39" i="3"/>
  <c r="D40" i="3" l="1"/>
  <c r="E40" i="3"/>
  <c r="B41" i="3"/>
  <c r="C41" i="3"/>
  <c r="A42" i="3"/>
  <c r="D41" i="3" l="1"/>
  <c r="E41" i="3" s="1"/>
  <c r="A43" i="3"/>
  <c r="C42" i="3"/>
  <c r="B42" i="3"/>
  <c r="D42" i="3" l="1"/>
  <c r="E42" i="3" s="1"/>
  <c r="B43" i="3"/>
  <c r="A44" i="3"/>
  <c r="C43" i="3"/>
  <c r="D43" i="3" l="1"/>
  <c r="A45" i="3"/>
  <c r="C44" i="3"/>
  <c r="B44" i="3"/>
  <c r="E43" i="3"/>
  <c r="D44" i="3" l="1"/>
  <c r="E44" i="3"/>
  <c r="A46" i="3"/>
  <c r="C45" i="3"/>
  <c r="B45" i="3"/>
  <c r="D45" i="3" l="1"/>
  <c r="E45" i="3" s="1"/>
  <c r="C46" i="3"/>
  <c r="B46" i="3"/>
  <c r="A47" i="3"/>
  <c r="B47" i="3" l="1"/>
  <c r="A48" i="3"/>
  <c r="C47" i="3"/>
  <c r="D46" i="3"/>
  <c r="E46" i="3" s="1"/>
  <c r="D47" i="3" l="1"/>
  <c r="E47" i="3"/>
  <c r="A49" i="3"/>
  <c r="C48" i="3"/>
  <c r="B48" i="3"/>
  <c r="D48" i="3" l="1"/>
  <c r="A50" i="3"/>
  <c r="C49" i="3"/>
  <c r="B49" i="3"/>
  <c r="E48" i="3"/>
  <c r="D49" i="3" l="1"/>
  <c r="E49" i="3" s="1"/>
  <c r="A51" i="3"/>
  <c r="C50" i="3"/>
  <c r="B50" i="3"/>
  <c r="D50" i="3" l="1"/>
  <c r="A52" i="3"/>
  <c r="C51" i="3"/>
  <c r="B51" i="3"/>
  <c r="E50" i="3"/>
  <c r="D51" i="3" l="1"/>
  <c r="E51" i="3" s="1"/>
  <c r="C52" i="3"/>
  <c r="B52" i="3"/>
  <c r="A53" i="3"/>
  <c r="D52" i="3" l="1"/>
  <c r="B53" i="3"/>
  <c r="A54" i="3"/>
  <c r="C53" i="3"/>
  <c r="E52" i="3"/>
  <c r="D53" i="3" l="1"/>
  <c r="E53" i="3" s="1"/>
  <c r="A55" i="3"/>
  <c r="C54" i="3"/>
  <c r="B54" i="3"/>
  <c r="D54" i="3" l="1"/>
  <c r="A56" i="3"/>
  <c r="C55" i="3"/>
  <c r="B55" i="3"/>
  <c r="E54" i="3"/>
  <c r="D55" i="3" l="1"/>
  <c r="E55" i="3" s="1"/>
  <c r="C56" i="3"/>
  <c r="A57" i="3"/>
  <c r="B56" i="3"/>
  <c r="D56" i="3" l="1"/>
  <c r="E56" i="3" s="1"/>
  <c r="C57" i="3"/>
  <c r="B57" i="3"/>
  <c r="A58" i="3"/>
  <c r="D57" i="3" l="1"/>
  <c r="E57" i="3"/>
  <c r="A59" i="3"/>
  <c r="C58" i="3"/>
  <c r="B58" i="3"/>
  <c r="D58" i="3" l="1"/>
  <c r="E58" i="3" s="1"/>
  <c r="B59" i="3"/>
  <c r="C59" i="3"/>
  <c r="A60" i="3"/>
  <c r="C60" i="3" l="1"/>
  <c r="A61" i="3"/>
  <c r="B60" i="3"/>
  <c r="D59" i="3"/>
  <c r="E59" i="3" s="1"/>
  <c r="D60" i="3" l="1"/>
  <c r="E60" i="3" s="1"/>
  <c r="A62" i="3"/>
  <c r="C61" i="3"/>
  <c r="B61" i="3"/>
  <c r="D61" i="3" l="1"/>
  <c r="E61" i="3" s="1"/>
  <c r="C62" i="3"/>
  <c r="B62" i="3"/>
  <c r="A63" i="3"/>
  <c r="D62" i="3" l="1"/>
  <c r="E62" i="3" s="1"/>
  <c r="C63" i="3"/>
  <c r="B63" i="3"/>
  <c r="A64" i="3"/>
  <c r="D63" i="3" l="1"/>
  <c r="E63" i="3" s="1"/>
  <c r="A65" i="3"/>
  <c r="C64" i="3"/>
  <c r="B64" i="3"/>
  <c r="D64" i="3" l="1"/>
  <c r="E64" i="3" s="1"/>
  <c r="A66" i="3"/>
  <c r="C65" i="3"/>
  <c r="B65" i="3"/>
  <c r="D65" i="3" l="1"/>
  <c r="E65" i="3" s="1"/>
  <c r="C66" i="3"/>
  <c r="B66" i="3"/>
  <c r="A67" i="3"/>
  <c r="D66" i="3" l="1"/>
  <c r="E66" i="3" s="1"/>
  <c r="A68" i="3"/>
  <c r="C67" i="3"/>
  <c r="B67" i="3"/>
  <c r="D67" i="3" l="1"/>
  <c r="E67" i="3" s="1"/>
  <c r="C68" i="3"/>
  <c r="B68" i="3"/>
  <c r="A69" i="3"/>
  <c r="D68" i="3" l="1"/>
  <c r="E68" i="3" s="1"/>
  <c r="B69" i="3"/>
  <c r="C69" i="3"/>
  <c r="A70" i="3"/>
  <c r="D69" i="3" l="1"/>
  <c r="E69" i="3" s="1"/>
  <c r="A71" i="3"/>
  <c r="C70" i="3"/>
  <c r="B70" i="3"/>
  <c r="D70" i="3" l="1"/>
  <c r="A72" i="3"/>
  <c r="C71" i="3"/>
  <c r="B71" i="3"/>
  <c r="E70" i="3"/>
  <c r="D71" i="3" l="1"/>
  <c r="E71" i="3" s="1"/>
  <c r="C72" i="3"/>
  <c r="B72" i="3"/>
  <c r="A73" i="3"/>
  <c r="A74" i="3" l="1"/>
  <c r="C73" i="3"/>
  <c r="B73" i="3"/>
  <c r="D72" i="3"/>
  <c r="E72" i="3" s="1"/>
  <c r="D73" i="3" l="1"/>
  <c r="E73" i="3"/>
  <c r="A75" i="3"/>
  <c r="C74" i="3"/>
  <c r="B74" i="3"/>
  <c r="D74" i="3" l="1"/>
  <c r="E74" i="3" s="1"/>
  <c r="B75" i="3"/>
  <c r="C75" i="3"/>
  <c r="A76" i="3"/>
  <c r="D75" i="3" l="1"/>
  <c r="E75" i="3" s="1"/>
  <c r="A77" i="3"/>
  <c r="B76" i="3"/>
  <c r="C76" i="3"/>
  <c r="D76" i="3" l="1"/>
  <c r="E76" i="3" s="1"/>
  <c r="A78" i="3"/>
  <c r="C77" i="3"/>
  <c r="B77" i="3"/>
  <c r="D77" i="3" l="1"/>
  <c r="E77" i="3" s="1"/>
  <c r="C78" i="3"/>
  <c r="B78" i="3"/>
  <c r="A79" i="3"/>
  <c r="D78" i="3" l="1"/>
  <c r="E78" i="3" s="1"/>
  <c r="C79" i="3"/>
  <c r="B79" i="3"/>
  <c r="D79" i="3" l="1"/>
  <c r="E79" i="3" s="1"/>
  <c r="E2" i="4" l="1" a="1"/>
  <c r="E2" i="4" s="1"/>
  <c r="E1" i="4"/>
  <c r="E4" i="4" l="1"/>
</calcChain>
</file>

<file path=xl/sharedStrings.xml><?xml version="1.0" encoding="utf-8"?>
<sst xmlns="http://schemas.openxmlformats.org/spreadsheetml/2006/main" count="893" uniqueCount="178">
  <si>
    <t>Data</t>
  </si>
  <si>
    <t>Movimentação</t>
  </si>
  <si>
    <t>Classificação</t>
  </si>
  <si>
    <t>Documento</t>
  </si>
  <si>
    <t>Descrição</t>
  </si>
  <si>
    <t>Favorecido</t>
  </si>
  <si>
    <t>Centro de Custos</t>
  </si>
  <si>
    <t>Status</t>
  </si>
  <si>
    <t>Conta</t>
  </si>
  <si>
    <t>Valor</t>
  </si>
  <si>
    <t>Acumulado</t>
  </si>
  <si>
    <t>Acum. (Previsão)</t>
  </si>
  <si>
    <t>Entradas</t>
  </si>
  <si>
    <t>Investimentos</t>
  </si>
  <si>
    <t>NF 9449</t>
  </si>
  <si>
    <t>Produto A</t>
  </si>
  <si>
    <t>Favorecido 1</t>
  </si>
  <si>
    <t>Operacional</t>
  </si>
  <si>
    <t>Pago</t>
  </si>
  <si>
    <t>Conta 3</t>
  </si>
  <si>
    <t>Receitas financeiras</t>
  </si>
  <si>
    <t>NF 7201</t>
  </si>
  <si>
    <t>Produto E</t>
  </si>
  <si>
    <t>Favorecido 3</t>
  </si>
  <si>
    <t>Conta 2</t>
  </si>
  <si>
    <t>Saídas</t>
  </si>
  <si>
    <t>Receita de vendas</t>
  </si>
  <si>
    <t>NF 9942</t>
  </si>
  <si>
    <t>Comercial</t>
  </si>
  <si>
    <t>NF 9189</t>
  </si>
  <si>
    <t>Produto D</t>
  </si>
  <si>
    <t>Favorecido 2</t>
  </si>
  <si>
    <t>Financeiro</t>
  </si>
  <si>
    <t>Receita de serviços</t>
  </si>
  <si>
    <t>NF 5098</t>
  </si>
  <si>
    <t>Produto C</t>
  </si>
  <si>
    <t>Outras entradas</t>
  </si>
  <si>
    <t>NF 4080</t>
  </si>
  <si>
    <t>Produto B</t>
  </si>
  <si>
    <t>NF 6573</t>
  </si>
  <si>
    <t>Conta 1</t>
  </si>
  <si>
    <t>NF 9517</t>
  </si>
  <si>
    <t>NF 3343</t>
  </si>
  <si>
    <t>Marketing</t>
  </si>
  <si>
    <t>NF 1981</t>
  </si>
  <si>
    <t>Despesas administrativas</t>
  </si>
  <si>
    <t>NF 9522</t>
  </si>
  <si>
    <t>Administrativo</t>
  </si>
  <si>
    <t>NF 6843</t>
  </si>
  <si>
    <t>NF 7372</t>
  </si>
  <si>
    <t>NF 8431</t>
  </si>
  <si>
    <t>NF 4152</t>
  </si>
  <si>
    <t>NF 3582</t>
  </si>
  <si>
    <t>NF 3730</t>
  </si>
  <si>
    <t>NF 2976</t>
  </si>
  <si>
    <t>NF 5294</t>
  </si>
  <si>
    <t>NF 7034</t>
  </si>
  <si>
    <t>Despesa com produtos</t>
  </si>
  <si>
    <t>NF 7715</t>
  </si>
  <si>
    <t>NF 7810</t>
  </si>
  <si>
    <t>NF 7680</t>
  </si>
  <si>
    <t>NF 5126</t>
  </si>
  <si>
    <t>NF 5312</t>
  </si>
  <si>
    <t>NF 6487</t>
  </si>
  <si>
    <t>NF 6970</t>
  </si>
  <si>
    <t>NF 1351</t>
  </si>
  <si>
    <t>Despesas financeiras</t>
  </si>
  <si>
    <t>NF 9853</t>
  </si>
  <si>
    <t>NF 2440</t>
  </si>
  <si>
    <t>NF 3277</t>
  </si>
  <si>
    <t>NF 5112</t>
  </si>
  <si>
    <t>NF 3521</t>
  </si>
  <si>
    <t>NF 8895</t>
  </si>
  <si>
    <t>NF 7871</t>
  </si>
  <si>
    <t>NF 2792</t>
  </si>
  <si>
    <t>NF 6547</t>
  </si>
  <si>
    <t>NF 5870</t>
  </si>
  <si>
    <t>NF 5426</t>
  </si>
  <si>
    <t>NF 5853</t>
  </si>
  <si>
    <t>NF 4042</t>
  </si>
  <si>
    <t>NF 3655</t>
  </si>
  <si>
    <t>NF 6378</t>
  </si>
  <si>
    <t>NF 7714</t>
  </si>
  <si>
    <t>NF 7606</t>
  </si>
  <si>
    <t>NF 4059</t>
  </si>
  <si>
    <t>NF 5566</t>
  </si>
  <si>
    <t>NF 7325</t>
  </si>
  <si>
    <t>NF 9992</t>
  </si>
  <si>
    <t>NF 7023</t>
  </si>
  <si>
    <t>NF 1411</t>
  </si>
  <si>
    <t>NF 2980</t>
  </si>
  <si>
    <t>NF 7851</t>
  </si>
  <si>
    <t>NF 3357</t>
  </si>
  <si>
    <t>NF 6829</t>
  </si>
  <si>
    <t>NF 5115</t>
  </si>
  <si>
    <t>NF 9716</t>
  </si>
  <si>
    <t>NF 3983</t>
  </si>
  <si>
    <t>NF 4665</t>
  </si>
  <si>
    <t>NF 2749</t>
  </si>
  <si>
    <t>NF 9483</t>
  </si>
  <si>
    <t>NF 2334</t>
  </si>
  <si>
    <t>NF 6882</t>
  </si>
  <si>
    <t>NF 7003</t>
  </si>
  <si>
    <t>NF 2568</t>
  </si>
  <si>
    <t>NF 6060</t>
  </si>
  <si>
    <t>NF 9610</t>
  </si>
  <si>
    <t>Despesa com pessoal</t>
  </si>
  <si>
    <t>NF 3249</t>
  </si>
  <si>
    <t>NF 3102</t>
  </si>
  <si>
    <t>NF 1017</t>
  </si>
  <si>
    <t>Retirada de sócios</t>
  </si>
  <si>
    <t>NF 7485</t>
  </si>
  <si>
    <t>Impostos</t>
  </si>
  <si>
    <t>NF 6025</t>
  </si>
  <si>
    <t>NF 9791</t>
  </si>
  <si>
    <t>NF 1712</t>
  </si>
  <si>
    <t>NF 1329</t>
  </si>
  <si>
    <t>NF 9532</t>
  </si>
  <si>
    <t>NF 3862</t>
  </si>
  <si>
    <t>NF 8393</t>
  </si>
  <si>
    <t>NF 2783</t>
  </si>
  <si>
    <t>NF 2121</t>
  </si>
  <si>
    <t>NF 2259</t>
  </si>
  <si>
    <t>NF 7861</t>
  </si>
  <si>
    <t>NF 2162</t>
  </si>
  <si>
    <t>NF 1691</t>
  </si>
  <si>
    <t>NF 1807</t>
  </si>
  <si>
    <t>NF 5265</t>
  </si>
  <si>
    <t>NF 3175</t>
  </si>
  <si>
    <t>NF 6194</t>
  </si>
  <si>
    <t>NF 8512</t>
  </si>
  <si>
    <t>NF 4136</t>
  </si>
  <si>
    <t>NF 9990</t>
  </si>
  <si>
    <t>NF 8547</t>
  </si>
  <si>
    <t>NF 1988</t>
  </si>
  <si>
    <t>NF 9208</t>
  </si>
  <si>
    <t>NF 8969</t>
  </si>
  <si>
    <t>NF 9820</t>
  </si>
  <si>
    <t>NF 8927</t>
  </si>
  <si>
    <t>NF 8024</t>
  </si>
  <si>
    <t>NF 5235</t>
  </si>
  <si>
    <t>NF 6889</t>
  </si>
  <si>
    <t>NF 9361</t>
  </si>
  <si>
    <t>Transferências</t>
  </si>
  <si>
    <t>Transferências (Entradas)</t>
  </si>
  <si>
    <t>Transferências (Saídas)</t>
  </si>
  <si>
    <t>Resumo Fluxo de Caixa</t>
  </si>
  <si>
    <t>Resumo Geral</t>
  </si>
  <si>
    <t>Selecionar Conta</t>
  </si>
  <si>
    <t>Selecionar Data</t>
  </si>
  <si>
    <t>Total Entradas</t>
  </si>
  <si>
    <t>Total Saídas</t>
  </si>
  <si>
    <t>Saldo Final</t>
  </si>
  <si>
    <t>Resumo Fluxo de Caixa Mensal</t>
  </si>
  <si>
    <t>Selecione o Mês</t>
  </si>
  <si>
    <t>janeiro</t>
  </si>
  <si>
    <t>Selecione o Ano</t>
  </si>
  <si>
    <t>Meses</t>
  </si>
  <si>
    <t>Variação</t>
  </si>
  <si>
    <t>Mín</t>
  </si>
  <si>
    <t>fevereiro</t>
  </si>
  <si>
    <t>Máx</t>
  </si>
  <si>
    <t>março</t>
  </si>
  <si>
    <t>abril</t>
  </si>
  <si>
    <t>Título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</si>
  <si>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</si>
  <si>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</si>
  <si>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</si>
  <si>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</si>
  <si>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</si>
  <si>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</si>
  <si>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</si>
  <si>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</si>
  <si>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Favorecidos</t>
  </si>
  <si>
    <t>Contas</t>
  </si>
  <si>
    <t>Despesa com serviços</t>
  </si>
  <si>
    <t>Despesas comerciais</t>
  </si>
  <si>
    <t>Outras saídas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</si>
</sst>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\ * #,##0.00_-;\-&quot;R$&quot;\ * #,##0.00_-;_-&quot;R$&quot;\ * &quot;-&quot;??_-;_-@"/>
    <numFmt numFmtId="165" formatCode="&quot;R$&quot;\ #,##0.00"/>
    <numFmt numFmtId="166" formatCode="_-&quot;R$&quot;\ * #,##0_-;\-&quot;R$&quot;\ * #,##0_-;_-&quot;R$&quot;\ * &quot;-&quot;??_-;_-@"/>
  </numFmts>
  <fonts count="11" x14ac:knownFonts="1">
    <font>
      <sz val="11"/>
      <color theme="1"/>
      <name val="Calibri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</font>
    <font>
      <sz val="11"/>
      <name val="Calibri"/>
      <family val="2"/>
    </font>
    <font>
      <b/>
      <sz val="16"/>
      <color theme="1"/>
      <name val="Calibri"/>
      <family val="2"/>
    </font>
    <font>
      <sz val="12"/>
      <color theme="1"/>
      <name val="Calibri"/>
      <family val="2"/>
    </font>
    <font>
      <b/>
      <sz val="18"/>
      <color theme="1"/>
      <name val="Calibri"/>
      <family val="2"/>
    </font>
    <font>
      <sz val="11"/>
      <color theme="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262626"/>
        <bgColor rgb="FF262626"/>
      </patternFill>
    </fill>
    <fill>
      <patternFill patternType="solid">
        <fgColor rgb="FFF2F2F2"/>
        <bgColor rgb="FFF2F2F2"/>
      </patternFill>
    </fill>
    <fill>
      <patternFill patternType="solid">
        <fgColor rgb="FFE2EFD9"/>
        <bgColor rgb="FFE2EFD9"/>
      </patternFill>
    </fill>
    <fill>
      <patternFill patternType="solid">
        <fgColor rgb="FF00B050"/>
        <bgColor rgb="FF00B050"/>
      </patternFill>
    </fill>
    <fill>
      <patternFill patternType="solid">
        <fgColor rgb="FFC00000"/>
        <bgColor rgb="FFC00000"/>
      </patternFill>
    </fill>
    <fill>
      <patternFill patternType="solid">
        <fgColor theme="7"/>
        <bgColor theme="7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/>
      <bottom style="thin">
        <color theme="0"/>
      </bottom>
      <diagonal/>
    </border>
    <border>
      <left/>
      <right style="thin">
        <color rgb="FF000000"/>
      </right>
      <top/>
      <bottom style="thin">
        <color theme="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theme="0"/>
      </top>
      <bottom/>
      <diagonal/>
    </border>
    <border>
      <left/>
      <right style="thin">
        <color rgb="FF000000"/>
      </right>
      <top style="thin">
        <color theme="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 applyAlignment="1">
      <alignment horizontal="center"/>
    </xf>
    <xf numFmtId="16" fontId="2" fillId="0" borderId="0" xfId="0" applyNumberFormat="1" applyFont="1"/>
    <xf numFmtId="14" fontId="2" fillId="0" borderId="0" xfId="0" applyNumberFormat="1" applyFont="1"/>
    <xf numFmtId="14" fontId="2" fillId="0" borderId="0" xfId="0" applyNumberFormat="1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0" fontId="2" fillId="0" borderId="0" xfId="0" applyFont="1"/>
    <xf numFmtId="0" fontId="8" fillId="0" borderId="0" xfId="0" applyFont="1"/>
    <xf numFmtId="0" fontId="2" fillId="4" borderId="9" xfId="0" applyFont="1" applyFill="1" applyBorder="1" applyAlignment="1">
      <alignment horizontal="center"/>
    </xf>
    <xf numFmtId="14" fontId="2" fillId="4" borderId="9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15" fontId="2" fillId="0" borderId="0" xfId="0" applyNumberFormat="1" applyFont="1"/>
    <xf numFmtId="3" fontId="2" fillId="0" borderId="0" xfId="0" applyNumberFormat="1" applyFont="1"/>
    <xf numFmtId="0" fontId="10" fillId="0" borderId="0" xfId="0" applyFont="1" applyAlignment="1">
      <alignment horizontal="center"/>
    </xf>
    <xf numFmtId="17" fontId="6" fillId="0" borderId="0" xfId="0" applyNumberFormat="1" applyFont="1" applyAlignment="1">
      <alignment horizontal="center"/>
    </xf>
    <xf numFmtId="166" fontId="6" fillId="0" borderId="0" xfId="0" applyNumberFormat="1" applyFont="1"/>
    <xf numFmtId="17" fontId="6" fillId="0" borderId="9" xfId="0" applyNumberFormat="1" applyFont="1" applyBorder="1" applyAlignment="1">
      <alignment horizontal="center"/>
    </xf>
    <xf numFmtId="166" fontId="6" fillId="0" borderId="9" xfId="0" applyNumberFormat="1" applyFont="1" applyBorder="1"/>
    <xf numFmtId="0" fontId="1" fillId="6" borderId="1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3" xfId="0" applyFont="1" applyBorder="1"/>
    <xf numFmtId="165" fontId="9" fillId="0" borderId="12" xfId="0" applyNumberFormat="1" applyFont="1" applyBorder="1" applyAlignment="1">
      <alignment horizontal="center" vertical="center"/>
    </xf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0" fontId="6" fillId="0" borderId="17" xfId="0" applyFont="1" applyBorder="1"/>
    <xf numFmtId="0" fontId="7" fillId="3" borderId="4" xfId="0" applyFont="1" applyFill="1" applyBorder="1" applyAlignment="1">
      <alignment horizontal="center" vertical="center"/>
    </xf>
    <xf numFmtId="0" fontId="6" fillId="0" borderId="5" xfId="0" applyFont="1" applyBorder="1"/>
    <xf numFmtId="0" fontId="6" fillId="0" borderId="6" xfId="0" applyFont="1" applyBorder="1"/>
    <xf numFmtId="0" fontId="5" fillId="2" borderId="1" xfId="0" applyFont="1" applyFill="1" applyBorder="1" applyAlignment="1">
      <alignment horizontal="left" vertical="center"/>
    </xf>
    <xf numFmtId="0" fontId="7" fillId="3" borderId="4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center"/>
    </xf>
    <xf numFmtId="0" fontId="6" fillId="0" borderId="8" xfId="0" applyFont="1" applyBorder="1"/>
    <xf numFmtId="0" fontId="1" fillId="2" borderId="10" xfId="0" applyFont="1" applyFill="1" applyBorder="1" applyAlignment="1">
      <alignment horizontal="center"/>
    </xf>
    <xf numFmtId="0" fontId="6" fillId="0" borderId="11" xfId="0" applyFont="1" applyBorder="1"/>
    <xf numFmtId="0" fontId="1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Fluxo de Caixa-style" pivot="0" count="3" xr9:uid="{00000000-0011-0000-FFFF-FFFF00000000}">
      <tableStyleElement type="headerRow" dxfId="11"/>
      <tableStyleElement type="firstRowStripe" dxfId="10"/>
      <tableStyleElement type="secondRowStripe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Auxiliar!$E$4</c:f>
          <c:strCache>
            <c:ptCount val="1"/>
            <c:pt idx="0">
              <c:v>Fluxo de Caixa para para o período jan/19 até jun/20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Resumo!$B$19</c:f>
              <c:strCache>
                <c:ptCount val="1"/>
                <c:pt idx="0">
                  <c:v>Entradas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Resumo!$A$20:$A$33</c:f>
              <c:numCache>
                <c:formatCode>mmm\-yy</c:formatCode>
                <c:ptCount val="14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  <c:pt idx="13">
                  <c:v>43862</c:v>
                </c:pt>
              </c:numCache>
            </c:numRef>
          </c:cat>
          <c:val>
            <c:numRef>
              <c:f>Resumo!$B$20:$B$33</c:f>
              <c:numCache>
                <c:formatCode>_-"R$"\ * #,##0_-;\-"R$"\ * #,##0_-;_-"R$"\ * "-"??_-;_-@</c:formatCode>
                <c:ptCount val="14"/>
                <c:pt idx="0">
                  <c:v>26220</c:v>
                </c:pt>
                <c:pt idx="1">
                  <c:v>8422</c:v>
                </c:pt>
                <c:pt idx="2">
                  <c:v>17979</c:v>
                </c:pt>
                <c:pt idx="3">
                  <c:v>21232</c:v>
                </c:pt>
                <c:pt idx="4">
                  <c:v>2019</c:v>
                </c:pt>
                <c:pt idx="5">
                  <c:v>17243</c:v>
                </c:pt>
                <c:pt idx="6">
                  <c:v>28495</c:v>
                </c:pt>
                <c:pt idx="7">
                  <c:v>18778</c:v>
                </c:pt>
                <c:pt idx="8">
                  <c:v>34128</c:v>
                </c:pt>
                <c:pt idx="9">
                  <c:v>20750</c:v>
                </c:pt>
                <c:pt idx="10">
                  <c:v>21926</c:v>
                </c:pt>
                <c:pt idx="11">
                  <c:v>25581</c:v>
                </c:pt>
                <c:pt idx="12">
                  <c:v>11212</c:v>
                </c:pt>
                <c:pt idx="13">
                  <c:v>28680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26-4E92-A7A8-2A01635E7A58}"/>
            </c:ext>
          </c:extLst>
        </c:ser>
        <c:ser>
          <c:idx val="1"/>
          <c:order val="1"/>
          <c:tx>
            <c:strRef>
              <c:f>Resumo!$C$19</c:f>
              <c:strCache>
                <c:ptCount val="1"/>
                <c:pt idx="0">
                  <c:v>Saídas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Resumo!$A$20:$A$33</c:f>
              <c:numCache>
                <c:formatCode>mmm\-yy</c:formatCode>
                <c:ptCount val="14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  <c:pt idx="13">
                  <c:v>43862</c:v>
                </c:pt>
              </c:numCache>
            </c:numRef>
          </c:cat>
          <c:val>
            <c:numRef>
              <c:f>Resumo!$C$20:$C$33</c:f>
              <c:numCache>
                <c:formatCode>_-"R$"\ * #,##0_-;\-"R$"\ * #,##0_-;_-"R$"\ * "-"??_-;_-@</c:formatCode>
                <c:ptCount val="14"/>
                <c:pt idx="0">
                  <c:v>-3109</c:v>
                </c:pt>
                <c:pt idx="1">
                  <c:v>-9580</c:v>
                </c:pt>
                <c:pt idx="2">
                  <c:v>-8467</c:v>
                </c:pt>
                <c:pt idx="3">
                  <c:v>-17037</c:v>
                </c:pt>
                <c:pt idx="4">
                  <c:v>-5293</c:v>
                </c:pt>
                <c:pt idx="5">
                  <c:v>-9324</c:v>
                </c:pt>
                <c:pt idx="6">
                  <c:v>-269</c:v>
                </c:pt>
                <c:pt idx="7">
                  <c:v>-26457</c:v>
                </c:pt>
                <c:pt idx="8">
                  <c:v>-21099</c:v>
                </c:pt>
                <c:pt idx="9">
                  <c:v>-13108</c:v>
                </c:pt>
                <c:pt idx="10">
                  <c:v>-6941</c:v>
                </c:pt>
                <c:pt idx="11">
                  <c:v>-17104</c:v>
                </c:pt>
                <c:pt idx="12">
                  <c:v>-18329</c:v>
                </c:pt>
                <c:pt idx="13">
                  <c:v>-14682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26-4E92-A7A8-2A01635E7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029103727"/>
        <c:axId val="606257007"/>
      </c:barChart>
      <c:dateAx>
        <c:axId val="1029103727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6257007"/>
        <c:crossesAt val="-30000"/>
        <c:auto val="1"/>
        <c:lblOffset val="100"/>
        <c:baseTimeUnit val="months"/>
      </c:dateAx>
      <c:valAx>
        <c:axId val="60625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910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319592</xdr:colOff>
      <xdr:row>18</xdr:row>
      <xdr:rowOff>8964</xdr:rowOff>
    </xdr:from>
    <xdr:to>
      <xdr:col>14</xdr:col>
      <xdr:colOff>537882</xdr:colOff>
      <xdr:row>39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F1D6D87-C94C-460D-B8C5-C29424450F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L104">
  <tableColumns count="12">
    <tableColumn id="1" xr3:uid="{00000000-0010-0000-0000-000001000000}" name="Data"/>
    <tableColumn id="2" xr3:uid="{00000000-0010-0000-0000-000002000000}" name="Movimentação"/>
    <tableColumn id="3" xr3:uid="{00000000-0010-0000-0000-000003000000}" name="Classificação"/>
    <tableColumn id="4" xr3:uid="{00000000-0010-0000-0000-000004000000}" name="Documento"/>
    <tableColumn id="5" xr3:uid="{00000000-0010-0000-0000-000005000000}" name="Descrição"/>
    <tableColumn id="6" xr3:uid="{00000000-0010-0000-0000-000006000000}" name="Favorecido"/>
    <tableColumn id="7" xr3:uid="{00000000-0010-0000-0000-000007000000}" name="Centro de Custos"/>
    <tableColumn id="8" xr3:uid="{00000000-0010-0000-0000-000008000000}" name="Status"/>
    <tableColumn id="9" xr3:uid="{00000000-0010-0000-0000-000009000000}" name="Conta"/>
    <tableColumn id="10" xr3:uid="{00000000-0010-0000-0000-00000A000000}" name="Valor"/>
    <tableColumn id="11" xr3:uid="{00000000-0010-0000-0000-00000B000000}" name="Acumulado"/>
    <tableColumn id="12" xr3:uid="{00000000-0010-0000-0000-00000C000000}" name="Acum. (Previsão)"/>
  </tableColumns>
  <tableStyleInfo name="Fluxo de Caixa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P1000"/>
  <sheetViews>
    <sheetView showGridLines="0" workbookViewId="0">
      <pane ySplit="1" topLeftCell="A2" activePane="bottomLeft" state="frozen"/>
      <selection pane="bottomLeft" activeCell="H2" sqref="H2"/>
    </sheetView>
  </sheetViews>
  <sheetFormatPr defaultColWidth="14.42578125" defaultRowHeight="15" customHeight="1" x14ac:dyDescent="0.25"/>
  <cols>
    <col min="1" max="1" width="11.28515625" customWidth="1"/>
    <col min="2" max="2" width="19" customWidth="1"/>
    <col min="3" max="3" width="23.7109375" customWidth="1"/>
    <col min="4" max="4" width="15.85546875" customWidth="1"/>
    <col min="5" max="5" width="14" customWidth="1"/>
    <col min="6" max="6" width="15.28515625" customWidth="1"/>
    <col min="7" max="7" width="20.7109375" customWidth="1"/>
    <col min="8" max="8" width="11.7109375" customWidth="1"/>
    <col min="9" max="9" width="10.7109375" customWidth="1"/>
    <col min="10" max="10" width="15" customWidth="1"/>
    <col min="11" max="11" width="15.5703125" customWidth="1"/>
    <col min="12" max="12" width="20.7109375" customWidth="1"/>
    <col min="13" max="15" width="8.7109375" customWidth="1"/>
    <col min="16" max="16" width="11.28515625" customWidth="1"/>
    <col min="17" max="26" width="8.7109375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P1" s="2"/>
    </row>
    <row r="2" spans="1:16" x14ac:dyDescent="0.25">
      <c r="A2" s="3">
        <v>43466</v>
      </c>
      <c r="B2" s="4" t="s">
        <v>12</v>
      </c>
      <c r="C2" s="5" t="s">
        <v>13</v>
      </c>
      <c r="D2" s="6" t="s">
        <v>14</v>
      </c>
      <c r="E2" s="6" t="s">
        <v>15</v>
      </c>
      <c r="F2" s="6" t="s">
        <v>16</v>
      </c>
      <c r="G2" s="6" t="s">
        <v>17</v>
      </c>
      <c r="H2" s="6" t="s">
        <v>18</v>
      </c>
      <c r="I2" s="6" t="s">
        <v>19</v>
      </c>
      <c r="J2" s="7">
        <v>1068</v>
      </c>
      <c r="K2" s="7">
        <f>IF(ROW()=2,IF('Fluxo de Caixa'!$H2="Em aberto",0,IF('Fluxo de Caixa'!$B2="Saídas",-J2,J2)),IF('Fluxo de Caixa'!$H2="Em aberto",0,IF(OR('Fluxo de Caixa'!$B2="Saídas",AND('Fluxo de Caixa'!$B2="Transferências",'Fluxo de Caixa'!$C2="Transferências (Saídas)")),-J2,J2))+K1)</f>
        <v>1068</v>
      </c>
      <c r="L2" s="8">
        <f>IF(ROW()=2,IF('Fluxo de Caixa'!$B2="Saídas",-J2,J2),IF(OR('Fluxo de Caixa'!$B2="Saídas",AND('Fluxo de Caixa'!$B2="Transferências",'Fluxo de Caixa'!$C2="Transferências (Saídas)")),-J2,J2)+L1)</f>
        <v>1068</v>
      </c>
      <c r="P2" s="3"/>
    </row>
    <row r="3" spans="1:16" x14ac:dyDescent="0.25">
      <c r="A3" s="3">
        <v>43475</v>
      </c>
      <c r="B3" s="4" t="s">
        <v>12</v>
      </c>
      <c r="C3" s="5" t="s">
        <v>20</v>
      </c>
      <c r="D3" s="6" t="s">
        <v>21</v>
      </c>
      <c r="E3" s="6" t="s">
        <v>22</v>
      </c>
      <c r="F3" s="6" t="s">
        <v>23</v>
      </c>
      <c r="G3" s="6" t="s">
        <v>17</v>
      </c>
      <c r="H3" s="6" t="s">
        <v>18</v>
      </c>
      <c r="I3" s="6" t="s">
        <v>24</v>
      </c>
      <c r="J3" s="7">
        <v>8743</v>
      </c>
      <c r="K3" s="7">
        <f>IF(ROW()=2,IF('Fluxo de Caixa'!$H3="Em aberto",0,IF('Fluxo de Caixa'!$B3="Saídas",-J3,J3)),IF('Fluxo de Caixa'!$H3="Em aberto",0,IF(OR('Fluxo de Caixa'!$B3="Saídas",AND('Fluxo de Caixa'!$B3="Transferências",'Fluxo de Caixa'!$C3="Transferências (Saídas)")),-J3,J3))+K2)</f>
        <v>9811</v>
      </c>
      <c r="L3" s="8">
        <f>IF(ROW()=2,IF('Fluxo de Caixa'!$B3="Saídas",-J3,J3),IF(OR('Fluxo de Caixa'!$B3="Saídas",AND('Fluxo de Caixa'!$B3="Transferências",'Fluxo de Caixa'!$C3="Transferências (Saídas)")),-J3,J3)+L2)</f>
        <v>9811</v>
      </c>
    </row>
    <row r="4" spans="1:16" x14ac:dyDescent="0.25">
      <c r="A4" s="3">
        <v>43481</v>
      </c>
      <c r="B4" s="4" t="s">
        <v>25</v>
      </c>
      <c r="C4" s="5" t="s">
        <v>26</v>
      </c>
      <c r="D4" s="6" t="s">
        <v>27</v>
      </c>
      <c r="E4" s="6" t="s">
        <v>15</v>
      </c>
      <c r="F4" s="6" t="s">
        <v>23</v>
      </c>
      <c r="G4" s="6" t="s">
        <v>28</v>
      </c>
      <c r="H4" s="6" t="s">
        <v>18</v>
      </c>
      <c r="I4" s="6" t="s">
        <v>19</v>
      </c>
      <c r="J4" s="7">
        <v>3109</v>
      </c>
      <c r="K4" s="7">
        <f>IF(ROW()=2,IF('Fluxo de Caixa'!$H4="Em aberto",0,IF('Fluxo de Caixa'!$B4="Saídas",-J4,J4)),IF('Fluxo de Caixa'!$H4="Em aberto",0,IF(OR('Fluxo de Caixa'!$B4="Saídas",AND('Fluxo de Caixa'!$B4="Transferências",'Fluxo de Caixa'!$C4="Transferências (Saídas)")),-J4,J4))+K3)</f>
        <v>6702</v>
      </c>
      <c r="L4" s="8">
        <f>IF(ROW()=2,IF('Fluxo de Caixa'!$B4="Saídas",-J4,J4),IF(OR('Fluxo de Caixa'!$B4="Saídas",AND('Fluxo de Caixa'!$B4="Transferências",'Fluxo de Caixa'!$C4="Transferências (Saídas)")),-J4,J4)+L3)</f>
        <v>6702</v>
      </c>
    </row>
    <row r="5" spans="1:16" x14ac:dyDescent="0.25">
      <c r="A5" s="3">
        <v>43482</v>
      </c>
      <c r="B5" s="4" t="s">
        <v>12</v>
      </c>
      <c r="C5" s="5" t="s">
        <v>26</v>
      </c>
      <c r="D5" s="6" t="s">
        <v>29</v>
      </c>
      <c r="E5" s="6" t="s">
        <v>30</v>
      </c>
      <c r="F5" s="6" t="s">
        <v>31</v>
      </c>
      <c r="G5" s="6" t="s">
        <v>32</v>
      </c>
      <c r="H5" s="6" t="s">
        <v>18</v>
      </c>
      <c r="I5" s="6" t="s">
        <v>24</v>
      </c>
      <c r="J5" s="7">
        <v>746</v>
      </c>
      <c r="K5" s="7">
        <f>IF(ROW()=2,IF('Fluxo de Caixa'!$H5="Em aberto",0,IF('Fluxo de Caixa'!$B5="Saídas",-J5,J5)),IF('Fluxo de Caixa'!$H5="Em aberto",0,IF(OR('Fluxo de Caixa'!$B5="Saídas",AND('Fluxo de Caixa'!$B5="Transferências",'Fluxo de Caixa'!$C5="Transferências (Saídas)")),-J5,J5))+K4)</f>
        <v>7448</v>
      </c>
      <c r="L5" s="8">
        <f>IF(ROW()=2,IF('Fluxo de Caixa'!$B5="Saídas",-J5,J5),IF(OR('Fluxo de Caixa'!$B5="Saídas",AND('Fluxo de Caixa'!$B5="Transferências",'Fluxo de Caixa'!$C5="Transferências (Saídas)")),-J5,J5)+L4)</f>
        <v>7448</v>
      </c>
    </row>
    <row r="6" spans="1:16" x14ac:dyDescent="0.25">
      <c r="A6" s="3">
        <v>43488</v>
      </c>
      <c r="B6" s="4" t="s">
        <v>12</v>
      </c>
      <c r="C6" s="5" t="s">
        <v>33</v>
      </c>
      <c r="D6" s="6" t="s">
        <v>34</v>
      </c>
      <c r="E6" s="6" t="s">
        <v>35</v>
      </c>
      <c r="F6" s="6" t="s">
        <v>16</v>
      </c>
      <c r="G6" s="6" t="s">
        <v>17</v>
      </c>
      <c r="H6" s="6" t="s">
        <v>18</v>
      </c>
      <c r="I6" s="6" t="s">
        <v>24</v>
      </c>
      <c r="J6" s="7">
        <v>1686</v>
      </c>
      <c r="K6" s="7">
        <f>IF(ROW()=2,IF('Fluxo de Caixa'!$H6="Em aberto",0,IF('Fluxo de Caixa'!$B6="Saídas",-J6,J6)),IF('Fluxo de Caixa'!$H6="Em aberto",0,IF(OR('Fluxo de Caixa'!$B6="Saídas",AND('Fluxo de Caixa'!$B6="Transferências",'Fluxo de Caixa'!$C6="Transferências (Saídas)")),-J6,J6))+K5)</f>
        <v>9134</v>
      </c>
      <c r="L6" s="8">
        <f>IF(ROW()=2,IF('Fluxo de Caixa'!$B6="Saídas",-J6,J6),IF(OR('Fluxo de Caixa'!$B6="Saídas",AND('Fluxo de Caixa'!$B6="Transferências",'Fluxo de Caixa'!$C6="Transferências (Saídas)")),-J6,J6)+L5)</f>
        <v>9134</v>
      </c>
    </row>
    <row r="7" spans="1:16" x14ac:dyDescent="0.25">
      <c r="A7" s="3">
        <v>43491</v>
      </c>
      <c r="B7" s="4" t="s">
        <v>12</v>
      </c>
      <c r="C7" s="5" t="s">
        <v>36</v>
      </c>
      <c r="D7" s="6" t="s">
        <v>37</v>
      </c>
      <c r="E7" s="6" t="s">
        <v>38</v>
      </c>
      <c r="F7" s="6" t="s">
        <v>31</v>
      </c>
      <c r="G7" s="6" t="s">
        <v>32</v>
      </c>
      <c r="H7" s="6" t="s">
        <v>18</v>
      </c>
      <c r="I7" s="6" t="s">
        <v>24</v>
      </c>
      <c r="J7" s="7">
        <v>5923</v>
      </c>
      <c r="K7" s="7">
        <f>IF(ROW()=2,IF('Fluxo de Caixa'!$H7="Em aberto",0,IF('Fluxo de Caixa'!$B7="Saídas",-J7,J7)),IF('Fluxo de Caixa'!$H7="Em aberto",0,IF(OR('Fluxo de Caixa'!$B7="Saídas",AND('Fluxo de Caixa'!$B7="Transferências",'Fluxo de Caixa'!$C7="Transferências (Saídas)")),-J7,J7))+K6)</f>
        <v>15057</v>
      </c>
      <c r="L7" s="8">
        <f>IF(ROW()=2,IF('Fluxo de Caixa'!$B7="Saídas",-J7,J7),IF(OR('Fluxo de Caixa'!$B7="Saídas",AND('Fluxo de Caixa'!$B7="Transferências",'Fluxo de Caixa'!$C7="Transferências (Saídas)")),-J7,J7)+L6)</f>
        <v>15057</v>
      </c>
    </row>
    <row r="8" spans="1:16" x14ac:dyDescent="0.25">
      <c r="A8" s="3">
        <v>43493</v>
      </c>
      <c r="B8" s="4" t="s">
        <v>12</v>
      </c>
      <c r="C8" s="5" t="s">
        <v>33</v>
      </c>
      <c r="D8" s="6" t="s">
        <v>39</v>
      </c>
      <c r="E8" s="6" t="s">
        <v>30</v>
      </c>
      <c r="F8" s="6" t="s">
        <v>31</v>
      </c>
      <c r="G8" s="6" t="s">
        <v>32</v>
      </c>
      <c r="H8" s="6" t="s">
        <v>18</v>
      </c>
      <c r="I8" s="6" t="s">
        <v>40</v>
      </c>
      <c r="J8" s="7">
        <v>8054</v>
      </c>
      <c r="K8" s="7">
        <f>IF(ROW()=2,IF('Fluxo de Caixa'!$H8="Em aberto",0,IF('Fluxo de Caixa'!$B8="Saídas",-J8,J8)),IF('Fluxo de Caixa'!$H8="Em aberto",0,IF(OR('Fluxo de Caixa'!$B8="Saídas",AND('Fluxo de Caixa'!$B8="Transferências",'Fluxo de Caixa'!$C8="Transferências (Saídas)")),-J8,J8))+K7)</f>
        <v>23111</v>
      </c>
      <c r="L8" s="8">
        <f>IF(ROW()=2,IF('Fluxo de Caixa'!$B8="Saídas",-J8,J8),IF(OR('Fluxo de Caixa'!$B8="Saídas",AND('Fluxo de Caixa'!$B8="Transferências",'Fluxo de Caixa'!$C8="Transferências (Saídas)")),-J8,J8)+L7)</f>
        <v>23111</v>
      </c>
    </row>
    <row r="9" spans="1:16" x14ac:dyDescent="0.25">
      <c r="A9" s="3">
        <v>43504</v>
      </c>
      <c r="B9" s="4" t="s">
        <v>25</v>
      </c>
      <c r="C9" s="5" t="s">
        <v>20</v>
      </c>
      <c r="D9" s="6" t="s">
        <v>41</v>
      </c>
      <c r="E9" s="6" t="s">
        <v>30</v>
      </c>
      <c r="F9" s="6" t="s">
        <v>23</v>
      </c>
      <c r="G9" s="6" t="s">
        <v>17</v>
      </c>
      <c r="H9" s="6" t="s">
        <v>18</v>
      </c>
      <c r="I9" s="6" t="s">
        <v>24</v>
      </c>
      <c r="J9" s="7">
        <v>9580</v>
      </c>
      <c r="K9" s="7">
        <f>IF(ROW()=2,IF('Fluxo de Caixa'!$H9="Em aberto",0,IF('Fluxo de Caixa'!$B9="Saídas",-J9,J9)),IF('Fluxo de Caixa'!$H9="Em aberto",0,IF(OR('Fluxo de Caixa'!$B9="Saídas",AND('Fluxo de Caixa'!$B9="Transferências",'Fluxo de Caixa'!$C9="Transferências (Saídas)")),-J9,J9))+K8)</f>
        <v>13531</v>
      </c>
      <c r="L9" s="8">
        <f>IF(ROW()=2,IF('Fluxo de Caixa'!$B9="Saídas",-J9,J9),IF(OR('Fluxo de Caixa'!$B9="Saídas",AND('Fluxo de Caixa'!$B9="Transferências",'Fluxo de Caixa'!$C9="Transferências (Saídas)")),-J9,J9)+L8)</f>
        <v>13531</v>
      </c>
    </row>
    <row r="10" spans="1:16" x14ac:dyDescent="0.25">
      <c r="A10" s="3">
        <v>43506</v>
      </c>
      <c r="B10" s="4" t="s">
        <v>12</v>
      </c>
      <c r="C10" s="5" t="s">
        <v>20</v>
      </c>
      <c r="D10" s="6" t="s">
        <v>42</v>
      </c>
      <c r="E10" s="6" t="s">
        <v>30</v>
      </c>
      <c r="F10" s="6" t="s">
        <v>16</v>
      </c>
      <c r="G10" s="6" t="s">
        <v>43</v>
      </c>
      <c r="H10" s="6" t="s">
        <v>18</v>
      </c>
      <c r="I10" s="6" t="s">
        <v>40</v>
      </c>
      <c r="J10" s="7">
        <v>8422</v>
      </c>
      <c r="K10" s="7">
        <f>IF(ROW()=2,IF('Fluxo de Caixa'!$H10="Em aberto",0,IF('Fluxo de Caixa'!$B10="Saídas",-J10,J10)),IF('Fluxo de Caixa'!$H10="Em aberto",0,IF(OR('Fluxo de Caixa'!$B10="Saídas",AND('Fluxo de Caixa'!$B10="Transferências",'Fluxo de Caixa'!$C10="Transferências (Saídas)")),-J10,J10))+K9)</f>
        <v>21953</v>
      </c>
      <c r="L10" s="8">
        <f>IF(ROW()=2,IF('Fluxo de Caixa'!$B10="Saídas",-J10,J10),IF(OR('Fluxo de Caixa'!$B10="Saídas",AND('Fluxo de Caixa'!$B10="Transferências",'Fluxo de Caixa'!$C10="Transferências (Saídas)")),-J10,J10)+L9)</f>
        <v>21953</v>
      </c>
    </row>
    <row r="11" spans="1:16" x14ac:dyDescent="0.25">
      <c r="A11" s="3">
        <v>43530</v>
      </c>
      <c r="B11" s="4" t="s">
        <v>12</v>
      </c>
      <c r="C11" s="5" t="s">
        <v>36</v>
      </c>
      <c r="D11" s="6" t="s">
        <v>44</v>
      </c>
      <c r="E11" s="6" t="s">
        <v>22</v>
      </c>
      <c r="F11" s="6" t="s">
        <v>31</v>
      </c>
      <c r="G11" s="6" t="s">
        <v>32</v>
      </c>
      <c r="H11" s="6" t="s">
        <v>18</v>
      </c>
      <c r="I11" s="6" t="s">
        <v>19</v>
      </c>
      <c r="J11" s="7">
        <v>9139</v>
      </c>
      <c r="K11" s="7">
        <f>IF(ROW()=2,IF('Fluxo de Caixa'!$H11="Em aberto",0,IF('Fluxo de Caixa'!$B11="Saídas",-J11,J11)),IF('Fluxo de Caixa'!$H11="Em aberto",0,IF(OR('Fluxo de Caixa'!$B11="Saídas",AND('Fluxo de Caixa'!$B11="Transferências",'Fluxo de Caixa'!$C11="Transferências (Saídas)")),-J11,J11))+K10)</f>
        <v>31092</v>
      </c>
      <c r="L11" s="8">
        <f>IF(ROW()=2,IF('Fluxo de Caixa'!$B11="Saídas",-J11,J11),IF(OR('Fluxo de Caixa'!$B11="Saídas",AND('Fluxo de Caixa'!$B11="Transferências",'Fluxo de Caixa'!$C11="Transferências (Saídas)")),-J11,J11)+L10)</f>
        <v>31092</v>
      </c>
    </row>
    <row r="12" spans="1:16" x14ac:dyDescent="0.25">
      <c r="A12" s="3">
        <v>43531</v>
      </c>
      <c r="B12" s="4" t="s">
        <v>25</v>
      </c>
      <c r="C12" s="5" t="s">
        <v>45</v>
      </c>
      <c r="D12" s="6" t="s">
        <v>46</v>
      </c>
      <c r="E12" s="6" t="s">
        <v>15</v>
      </c>
      <c r="F12" s="6" t="s">
        <v>23</v>
      </c>
      <c r="G12" s="6" t="s">
        <v>47</v>
      </c>
      <c r="H12" s="6" t="s">
        <v>18</v>
      </c>
      <c r="I12" s="6" t="s">
        <v>19</v>
      </c>
      <c r="J12" s="7">
        <v>5822</v>
      </c>
      <c r="K12" s="7">
        <f>IF(ROW()=2,IF('Fluxo de Caixa'!$H12="Em aberto",0,IF('Fluxo de Caixa'!$B12="Saídas",-J12,J12)),IF('Fluxo de Caixa'!$H12="Em aberto",0,IF(OR('Fluxo de Caixa'!$B12="Saídas",AND('Fluxo de Caixa'!$B12="Transferências",'Fluxo de Caixa'!$C12="Transferências (Saídas)")),-J12,J12))+K11)</f>
        <v>25270</v>
      </c>
      <c r="L12" s="8">
        <f>IF(ROW()=2,IF('Fluxo de Caixa'!$B12="Saídas",-J12,J12),IF(OR('Fluxo de Caixa'!$B12="Saídas",AND('Fluxo de Caixa'!$B12="Transferências",'Fluxo de Caixa'!$C12="Transferências (Saídas)")),-J12,J12)+L11)</f>
        <v>25270</v>
      </c>
    </row>
    <row r="13" spans="1:16" x14ac:dyDescent="0.25">
      <c r="A13" s="3">
        <v>43538</v>
      </c>
      <c r="B13" s="4" t="s">
        <v>25</v>
      </c>
      <c r="C13" s="5" t="s">
        <v>33</v>
      </c>
      <c r="D13" s="6" t="s">
        <v>48</v>
      </c>
      <c r="E13" s="6" t="s">
        <v>15</v>
      </c>
      <c r="F13" s="6" t="s">
        <v>31</v>
      </c>
      <c r="G13" s="6" t="s">
        <v>32</v>
      </c>
      <c r="H13" s="6" t="s">
        <v>18</v>
      </c>
      <c r="I13" s="6" t="s">
        <v>24</v>
      </c>
      <c r="J13" s="7">
        <v>2350</v>
      </c>
      <c r="K13" s="7">
        <f>IF(ROW()=2,IF('Fluxo de Caixa'!$H13="Em aberto",0,IF('Fluxo de Caixa'!$B13="Saídas",-J13,J13)),IF('Fluxo de Caixa'!$H13="Em aberto",0,IF(OR('Fluxo de Caixa'!$B13="Saídas",AND('Fluxo de Caixa'!$B13="Transferências",'Fluxo de Caixa'!$C13="Transferências (Saídas)")),-J13,J13))+K12)</f>
        <v>22920</v>
      </c>
      <c r="L13" s="8">
        <f>IF(ROW()=2,IF('Fluxo de Caixa'!$B13="Saídas",-J13,J13),IF(OR('Fluxo de Caixa'!$B13="Saídas",AND('Fluxo de Caixa'!$B13="Transferências",'Fluxo de Caixa'!$C13="Transferências (Saídas)")),-J13,J13)+L12)</f>
        <v>22920</v>
      </c>
    </row>
    <row r="14" spans="1:16" x14ac:dyDescent="0.25">
      <c r="A14" s="3">
        <v>43543</v>
      </c>
      <c r="B14" s="4" t="s">
        <v>12</v>
      </c>
      <c r="C14" s="5" t="s">
        <v>20</v>
      </c>
      <c r="D14" s="6" t="s">
        <v>49</v>
      </c>
      <c r="E14" s="6" t="s">
        <v>35</v>
      </c>
      <c r="F14" s="6" t="s">
        <v>16</v>
      </c>
      <c r="G14" s="6" t="s">
        <v>28</v>
      </c>
      <c r="H14" s="6" t="s">
        <v>18</v>
      </c>
      <c r="I14" s="6" t="s">
        <v>19</v>
      </c>
      <c r="J14" s="7">
        <v>8840</v>
      </c>
      <c r="K14" s="7">
        <f>IF(ROW()=2,IF('Fluxo de Caixa'!$H14="Em aberto",0,IF('Fluxo de Caixa'!$B14="Saídas",-J14,J14)),IF('Fluxo de Caixa'!$H14="Em aberto",0,IF(OR('Fluxo de Caixa'!$B14="Saídas",AND('Fluxo de Caixa'!$B14="Transferências",'Fluxo de Caixa'!$C14="Transferências (Saídas)")),-J14,J14))+K13)</f>
        <v>31760</v>
      </c>
      <c r="L14" s="8">
        <f>IF(ROW()=2,IF('Fluxo de Caixa'!$B14="Saídas",-J14,J14),IF(OR('Fluxo de Caixa'!$B14="Saídas",AND('Fluxo de Caixa'!$B14="Transferências",'Fluxo de Caixa'!$C14="Transferências (Saídas)")),-J14,J14)+L13)</f>
        <v>31760</v>
      </c>
    </row>
    <row r="15" spans="1:16" x14ac:dyDescent="0.25">
      <c r="A15" s="3">
        <v>43551</v>
      </c>
      <c r="B15" s="4" t="s">
        <v>25</v>
      </c>
      <c r="C15" s="5" t="s">
        <v>20</v>
      </c>
      <c r="D15" s="6" t="s">
        <v>50</v>
      </c>
      <c r="E15" s="6" t="s">
        <v>22</v>
      </c>
      <c r="F15" s="6" t="s">
        <v>31</v>
      </c>
      <c r="G15" s="6" t="s">
        <v>47</v>
      </c>
      <c r="H15" s="6" t="s">
        <v>18</v>
      </c>
      <c r="I15" s="6" t="s">
        <v>40</v>
      </c>
      <c r="J15" s="7">
        <v>295</v>
      </c>
      <c r="K15" s="7">
        <f>IF(ROW()=2,IF('Fluxo de Caixa'!$H15="Em aberto",0,IF('Fluxo de Caixa'!$B15="Saídas",-J15,J15)),IF('Fluxo de Caixa'!$H15="Em aberto",0,IF(OR('Fluxo de Caixa'!$B15="Saídas",AND('Fluxo de Caixa'!$B15="Transferências",'Fluxo de Caixa'!$C15="Transferências (Saídas)")),-J15,J15))+K14)</f>
        <v>31465</v>
      </c>
      <c r="L15" s="8">
        <f>IF(ROW()=2,IF('Fluxo de Caixa'!$B15="Saídas",-J15,J15),IF(OR('Fluxo de Caixa'!$B15="Saídas",AND('Fluxo de Caixa'!$B15="Transferências",'Fluxo de Caixa'!$C15="Transferências (Saídas)")),-J15,J15)+L14)</f>
        <v>31465</v>
      </c>
    </row>
    <row r="16" spans="1:16" x14ac:dyDescent="0.25">
      <c r="A16" s="3">
        <v>43569</v>
      </c>
      <c r="B16" s="4" t="s">
        <v>12</v>
      </c>
      <c r="C16" s="5" t="s">
        <v>20</v>
      </c>
      <c r="D16" s="6" t="s">
        <v>51</v>
      </c>
      <c r="E16" s="6" t="s">
        <v>35</v>
      </c>
      <c r="F16" s="6" t="s">
        <v>16</v>
      </c>
      <c r="G16" s="6" t="s">
        <v>32</v>
      </c>
      <c r="H16" s="6" t="s">
        <v>18</v>
      </c>
      <c r="I16" s="6" t="s">
        <v>24</v>
      </c>
      <c r="J16" s="7">
        <v>6551</v>
      </c>
      <c r="K16" s="7">
        <f>IF(ROW()=2,IF('Fluxo de Caixa'!$H16="Em aberto",0,IF('Fluxo de Caixa'!$B16="Saídas",-J16,J16)),IF('Fluxo de Caixa'!$H16="Em aberto",0,IF(OR('Fluxo de Caixa'!$B16="Saídas",AND('Fluxo de Caixa'!$B16="Transferências",'Fluxo de Caixa'!$C16="Transferências (Saídas)")),-J16,J16))+K15)</f>
        <v>38016</v>
      </c>
      <c r="L16" s="8">
        <f>IF(ROW()=2,IF('Fluxo de Caixa'!$B16="Saídas",-J16,J16),IF(OR('Fluxo de Caixa'!$B16="Saídas",AND('Fluxo de Caixa'!$B16="Transferências",'Fluxo de Caixa'!$C16="Transferências (Saídas)")),-J16,J16)+L15)</f>
        <v>38016</v>
      </c>
    </row>
    <row r="17" spans="1:12" x14ac:dyDescent="0.25">
      <c r="A17" s="3">
        <v>43570</v>
      </c>
      <c r="B17" s="4" t="s">
        <v>25</v>
      </c>
      <c r="C17" s="5" t="s">
        <v>45</v>
      </c>
      <c r="D17" s="6" t="s">
        <v>52</v>
      </c>
      <c r="E17" s="6" t="s">
        <v>35</v>
      </c>
      <c r="F17" s="6" t="s">
        <v>16</v>
      </c>
      <c r="G17" s="6" t="s">
        <v>32</v>
      </c>
      <c r="H17" s="6" t="s">
        <v>18</v>
      </c>
      <c r="I17" s="6" t="s">
        <v>19</v>
      </c>
      <c r="J17" s="7">
        <v>9046</v>
      </c>
      <c r="K17" s="7">
        <f>IF(ROW()=2,IF('Fluxo de Caixa'!$H17="Em aberto",0,IF('Fluxo de Caixa'!$B17="Saídas",-J17,J17)),IF('Fluxo de Caixa'!$H17="Em aberto",0,IF(OR('Fluxo de Caixa'!$B17="Saídas",AND('Fluxo de Caixa'!$B17="Transferências",'Fluxo de Caixa'!$C17="Transferências (Saídas)")),-J17,J17))+K16)</f>
        <v>28970</v>
      </c>
      <c r="L17" s="8">
        <f>IF(ROW()=2,IF('Fluxo de Caixa'!$B17="Saídas",-J17,J17),IF(OR('Fluxo de Caixa'!$B17="Saídas",AND('Fluxo de Caixa'!$B17="Transferências",'Fluxo de Caixa'!$C17="Transferências (Saídas)")),-J17,J17)+L16)</f>
        <v>28970</v>
      </c>
    </row>
    <row r="18" spans="1:12" x14ac:dyDescent="0.25">
      <c r="A18" s="3">
        <v>43572</v>
      </c>
      <c r="B18" s="4" t="s">
        <v>25</v>
      </c>
      <c r="C18" s="5" t="s">
        <v>33</v>
      </c>
      <c r="D18" s="6" t="s">
        <v>53</v>
      </c>
      <c r="E18" s="6" t="s">
        <v>35</v>
      </c>
      <c r="F18" s="6" t="s">
        <v>16</v>
      </c>
      <c r="G18" s="6" t="s">
        <v>17</v>
      </c>
      <c r="H18" s="6" t="s">
        <v>18</v>
      </c>
      <c r="I18" s="6" t="s">
        <v>19</v>
      </c>
      <c r="J18" s="7">
        <v>7991</v>
      </c>
      <c r="K18" s="7">
        <f>IF(ROW()=2,IF('Fluxo de Caixa'!$H18="Em aberto",0,IF('Fluxo de Caixa'!$B18="Saídas",-J18,J18)),IF('Fluxo de Caixa'!$H18="Em aberto",0,IF(OR('Fluxo de Caixa'!$B18="Saídas",AND('Fluxo de Caixa'!$B18="Transferências",'Fluxo de Caixa'!$C18="Transferências (Saídas)")),-J18,J18))+K17)</f>
        <v>20979</v>
      </c>
      <c r="L18" s="8">
        <f>IF(ROW()=2,IF('Fluxo de Caixa'!$B18="Saídas",-J18,J18),IF(OR('Fluxo de Caixa'!$B18="Saídas",AND('Fluxo de Caixa'!$B18="Transferências",'Fluxo de Caixa'!$C18="Transferências (Saídas)")),-J18,J18)+L17)</f>
        <v>20979</v>
      </c>
    </row>
    <row r="19" spans="1:12" x14ac:dyDescent="0.25">
      <c r="A19" s="3">
        <v>43578</v>
      </c>
      <c r="B19" s="4" t="s">
        <v>12</v>
      </c>
      <c r="C19" s="5" t="s">
        <v>26</v>
      </c>
      <c r="D19" s="6" t="s">
        <v>54</v>
      </c>
      <c r="E19" s="6" t="s">
        <v>30</v>
      </c>
      <c r="F19" s="6" t="s">
        <v>23</v>
      </c>
      <c r="G19" s="6" t="s">
        <v>43</v>
      </c>
      <c r="H19" s="6" t="s">
        <v>18</v>
      </c>
      <c r="I19" s="6" t="s">
        <v>24</v>
      </c>
      <c r="J19" s="7">
        <v>5417</v>
      </c>
      <c r="K19" s="7">
        <f>IF(ROW()=2,IF('Fluxo de Caixa'!$H19="Em aberto",0,IF('Fluxo de Caixa'!$B19="Saídas",-J19,J19)),IF('Fluxo de Caixa'!$H19="Em aberto",0,IF(OR('Fluxo de Caixa'!$B19="Saídas",AND('Fluxo de Caixa'!$B19="Transferências",'Fluxo de Caixa'!$C19="Transferências (Saídas)")),-J19,J19))+K18)</f>
        <v>26396</v>
      </c>
      <c r="L19" s="8">
        <f>IF(ROW()=2,IF('Fluxo de Caixa'!$B19="Saídas",-J19,J19),IF(OR('Fluxo de Caixa'!$B19="Saídas",AND('Fluxo de Caixa'!$B19="Transferências",'Fluxo de Caixa'!$C19="Transferências (Saídas)")),-J19,J19)+L18)</f>
        <v>26396</v>
      </c>
    </row>
    <row r="20" spans="1:12" x14ac:dyDescent="0.25">
      <c r="A20" s="3">
        <v>43580</v>
      </c>
      <c r="B20" s="4" t="s">
        <v>12</v>
      </c>
      <c r="C20" s="5" t="s">
        <v>36</v>
      </c>
      <c r="D20" s="6" t="s">
        <v>55</v>
      </c>
      <c r="E20" s="6" t="s">
        <v>35</v>
      </c>
      <c r="F20" s="6" t="s">
        <v>16</v>
      </c>
      <c r="G20" s="6" t="s">
        <v>28</v>
      </c>
      <c r="H20" s="6" t="s">
        <v>18</v>
      </c>
      <c r="I20" s="6" t="s">
        <v>40</v>
      </c>
      <c r="J20" s="7">
        <v>9264</v>
      </c>
      <c r="K20" s="7">
        <f>IF(ROW()=2,IF('Fluxo de Caixa'!$H20="Em aberto",0,IF('Fluxo de Caixa'!$B20="Saídas",-J20,J20)),IF('Fluxo de Caixa'!$H20="Em aberto",0,IF(OR('Fluxo de Caixa'!$B20="Saídas",AND('Fluxo de Caixa'!$B20="Transferências",'Fluxo de Caixa'!$C20="Transferências (Saídas)")),-J20,J20))+K19)</f>
        <v>35660</v>
      </c>
      <c r="L20" s="8">
        <f>IF(ROW()=2,IF('Fluxo de Caixa'!$B20="Saídas",-J20,J20),IF(OR('Fluxo de Caixa'!$B20="Saídas",AND('Fluxo de Caixa'!$B20="Transferências",'Fluxo de Caixa'!$C20="Transferências (Saídas)")),-J20,J20)+L19)</f>
        <v>35660</v>
      </c>
    </row>
    <row r="21" spans="1:12" ht="15.75" customHeight="1" x14ac:dyDescent="0.25">
      <c r="A21" s="3">
        <v>43586</v>
      </c>
      <c r="B21" s="4" t="s">
        <v>12</v>
      </c>
      <c r="C21" s="5" t="s">
        <v>26</v>
      </c>
      <c r="D21" s="6" t="s">
        <v>56</v>
      </c>
      <c r="E21" s="6" t="s">
        <v>38</v>
      </c>
      <c r="F21" s="6" t="s">
        <v>23</v>
      </c>
      <c r="G21" s="6" t="s">
        <v>32</v>
      </c>
      <c r="H21" s="6" t="s">
        <v>18</v>
      </c>
      <c r="I21" s="6" t="s">
        <v>40</v>
      </c>
      <c r="J21" s="7">
        <v>1179</v>
      </c>
      <c r="K21" s="7">
        <f>IF(ROW()=2,IF('Fluxo de Caixa'!$H21="Em aberto",0,IF('Fluxo de Caixa'!$B21="Saídas",-J21,J21)),IF('Fluxo de Caixa'!$H21="Em aberto",0,IF(OR('Fluxo de Caixa'!$B21="Saídas",AND('Fluxo de Caixa'!$B21="Transferências",'Fluxo de Caixa'!$C21="Transferências (Saídas)")),-J21,J21))+K20)</f>
        <v>36839</v>
      </c>
      <c r="L21" s="8">
        <f>IF(ROW()=2,IF('Fluxo de Caixa'!$B21="Saídas",-J21,J21),IF(OR('Fluxo de Caixa'!$B21="Saídas",AND('Fluxo de Caixa'!$B21="Transferências",'Fluxo de Caixa'!$C21="Transferências (Saídas)")),-J21,J21)+L20)</f>
        <v>36839</v>
      </c>
    </row>
    <row r="22" spans="1:12" ht="15.75" customHeight="1" x14ac:dyDescent="0.25">
      <c r="A22" s="3">
        <v>43594</v>
      </c>
      <c r="B22" s="4" t="s">
        <v>25</v>
      </c>
      <c r="C22" s="5" t="s">
        <v>57</v>
      </c>
      <c r="D22" s="6" t="s">
        <v>58</v>
      </c>
      <c r="E22" s="6" t="s">
        <v>35</v>
      </c>
      <c r="F22" s="6" t="s">
        <v>31</v>
      </c>
      <c r="G22" s="6" t="s">
        <v>47</v>
      </c>
      <c r="H22" s="6" t="s">
        <v>18</v>
      </c>
      <c r="I22" s="6" t="s">
        <v>24</v>
      </c>
      <c r="J22" s="7">
        <v>5293</v>
      </c>
      <c r="K22" s="7">
        <f>IF(ROW()=2,IF('Fluxo de Caixa'!$H22="Em aberto",0,IF('Fluxo de Caixa'!$B22="Saídas",-J22,J22)),IF('Fluxo de Caixa'!$H22="Em aberto",0,IF(OR('Fluxo de Caixa'!$B22="Saídas",AND('Fluxo de Caixa'!$B22="Transferências",'Fluxo de Caixa'!$C22="Transferências (Saídas)")),-J22,J22))+K21)</f>
        <v>31546</v>
      </c>
      <c r="L22" s="8">
        <f>IF(ROW()=2,IF('Fluxo de Caixa'!$B22="Saídas",-J22,J22),IF(OR('Fluxo de Caixa'!$B22="Saídas",AND('Fluxo de Caixa'!$B22="Transferências",'Fluxo de Caixa'!$C22="Transferências (Saídas)")),-J22,J22)+L21)</f>
        <v>31546</v>
      </c>
    </row>
    <row r="23" spans="1:12" ht="15.75" customHeight="1" x14ac:dyDescent="0.25">
      <c r="A23" s="3">
        <v>43609</v>
      </c>
      <c r="B23" s="4" t="s">
        <v>12</v>
      </c>
      <c r="C23" s="5" t="s">
        <v>26</v>
      </c>
      <c r="D23" s="6" t="s">
        <v>59</v>
      </c>
      <c r="E23" s="6" t="s">
        <v>35</v>
      </c>
      <c r="F23" s="6" t="s">
        <v>31</v>
      </c>
      <c r="G23" s="6" t="s">
        <v>17</v>
      </c>
      <c r="H23" s="6" t="s">
        <v>18</v>
      </c>
      <c r="I23" s="6" t="s">
        <v>19</v>
      </c>
      <c r="J23" s="7">
        <v>840</v>
      </c>
      <c r="K23" s="7">
        <f>IF(ROW()=2,IF('Fluxo de Caixa'!$H23="Em aberto",0,IF('Fluxo de Caixa'!$B23="Saídas",-J23,J23)),IF('Fluxo de Caixa'!$H23="Em aberto",0,IF(OR('Fluxo de Caixa'!$B23="Saídas",AND('Fluxo de Caixa'!$B23="Transferências",'Fluxo de Caixa'!$C23="Transferências (Saídas)")),-J23,J23))+K22)</f>
        <v>32386</v>
      </c>
      <c r="L23" s="8">
        <f>IF(ROW()=2,IF('Fluxo de Caixa'!$B23="Saídas",-J23,J23),IF(OR('Fluxo de Caixa'!$B23="Saídas",AND('Fluxo de Caixa'!$B23="Transferências",'Fluxo de Caixa'!$C23="Transferências (Saídas)")),-J23,J23)+L22)</f>
        <v>32386</v>
      </c>
    </row>
    <row r="24" spans="1:12" ht="15.75" customHeight="1" x14ac:dyDescent="0.25">
      <c r="A24" s="3">
        <v>43624</v>
      </c>
      <c r="B24" s="4" t="s">
        <v>25</v>
      </c>
      <c r="C24" s="5" t="s">
        <v>26</v>
      </c>
      <c r="D24" s="6" t="s">
        <v>60</v>
      </c>
      <c r="E24" s="6" t="s">
        <v>22</v>
      </c>
      <c r="F24" s="6" t="s">
        <v>16</v>
      </c>
      <c r="G24" s="6" t="s">
        <v>17</v>
      </c>
      <c r="H24" s="6" t="s">
        <v>18</v>
      </c>
      <c r="I24" s="6" t="s">
        <v>24</v>
      </c>
      <c r="J24" s="7">
        <v>9324</v>
      </c>
      <c r="K24" s="7">
        <f>IF(ROW()=2,IF('Fluxo de Caixa'!$H24="Em aberto",0,IF('Fluxo de Caixa'!$B24="Saídas",-J24,J24)),IF('Fluxo de Caixa'!$H24="Em aberto",0,IF(OR('Fluxo de Caixa'!$B24="Saídas",AND('Fluxo de Caixa'!$B24="Transferências",'Fluxo de Caixa'!$C24="Transferências (Saídas)")),-J24,J24))+K23)</f>
        <v>23062</v>
      </c>
      <c r="L24" s="8">
        <f>IF(ROW()=2,IF('Fluxo de Caixa'!$B24="Saídas",-J24,J24),IF(OR('Fluxo de Caixa'!$B24="Saídas",AND('Fluxo de Caixa'!$B24="Transferências",'Fluxo de Caixa'!$C24="Transferências (Saídas)")),-J24,J24)+L23)</f>
        <v>23062</v>
      </c>
    </row>
    <row r="25" spans="1:12" ht="15.75" customHeight="1" x14ac:dyDescent="0.25">
      <c r="A25" s="3">
        <v>43627</v>
      </c>
      <c r="B25" s="4" t="s">
        <v>12</v>
      </c>
      <c r="C25" s="5" t="s">
        <v>20</v>
      </c>
      <c r="D25" s="6" t="s">
        <v>61</v>
      </c>
      <c r="E25" s="6" t="s">
        <v>35</v>
      </c>
      <c r="F25" s="6" t="s">
        <v>31</v>
      </c>
      <c r="G25" s="6" t="s">
        <v>17</v>
      </c>
      <c r="H25" s="6" t="s">
        <v>18</v>
      </c>
      <c r="I25" s="6" t="s">
        <v>24</v>
      </c>
      <c r="J25" s="7">
        <v>659</v>
      </c>
      <c r="K25" s="7">
        <f>IF(ROW()=2,IF('Fluxo de Caixa'!$H25="Em aberto",0,IF('Fluxo de Caixa'!$B25="Saídas",-J25,J25)),IF('Fluxo de Caixa'!$H25="Em aberto",0,IF(OR('Fluxo de Caixa'!$B25="Saídas",AND('Fluxo de Caixa'!$B25="Transferências",'Fluxo de Caixa'!$C25="Transferências (Saídas)")),-J25,J25))+K24)</f>
        <v>23721</v>
      </c>
      <c r="L25" s="8">
        <f>IF(ROW()=2,IF('Fluxo de Caixa'!$B25="Saídas",-J25,J25),IF(OR('Fluxo de Caixa'!$B25="Saídas",AND('Fluxo de Caixa'!$B25="Transferências",'Fluxo de Caixa'!$C25="Transferências (Saídas)")),-J25,J25)+L24)</f>
        <v>23721</v>
      </c>
    </row>
    <row r="26" spans="1:12" ht="15.75" customHeight="1" x14ac:dyDescent="0.25">
      <c r="A26" s="3">
        <v>43633</v>
      </c>
      <c r="B26" s="4" t="s">
        <v>12</v>
      </c>
      <c r="C26" s="5" t="s">
        <v>26</v>
      </c>
      <c r="D26" s="6" t="s">
        <v>62</v>
      </c>
      <c r="E26" s="6" t="s">
        <v>30</v>
      </c>
      <c r="F26" s="6" t="s">
        <v>16</v>
      </c>
      <c r="G26" s="6" t="s">
        <v>47</v>
      </c>
      <c r="H26" s="6" t="s">
        <v>18</v>
      </c>
      <c r="I26" s="6" t="s">
        <v>19</v>
      </c>
      <c r="J26" s="7">
        <v>7992</v>
      </c>
      <c r="K26" s="7">
        <f>IF(ROW()=2,IF('Fluxo de Caixa'!$H26="Em aberto",0,IF('Fluxo de Caixa'!$B26="Saídas",-J26,J26)),IF('Fluxo de Caixa'!$H26="Em aberto",0,IF(OR('Fluxo de Caixa'!$B26="Saídas",AND('Fluxo de Caixa'!$B26="Transferências",'Fluxo de Caixa'!$C26="Transferências (Saídas)")),-J26,J26))+K25)</f>
        <v>31713</v>
      </c>
      <c r="L26" s="8">
        <f>IF(ROW()=2,IF('Fluxo de Caixa'!$B26="Saídas",-J26,J26),IF(OR('Fluxo de Caixa'!$B26="Saídas",AND('Fluxo de Caixa'!$B26="Transferências",'Fluxo de Caixa'!$C26="Transferências (Saídas)")),-J26,J26)+L25)</f>
        <v>31713</v>
      </c>
    </row>
    <row r="27" spans="1:12" ht="15.75" customHeight="1" x14ac:dyDescent="0.25">
      <c r="A27" s="3">
        <v>43638</v>
      </c>
      <c r="B27" s="4" t="s">
        <v>12</v>
      </c>
      <c r="C27" s="5" t="s">
        <v>13</v>
      </c>
      <c r="D27" s="6" t="s">
        <v>63</v>
      </c>
      <c r="E27" s="6" t="s">
        <v>22</v>
      </c>
      <c r="F27" s="6" t="s">
        <v>16</v>
      </c>
      <c r="G27" s="6" t="s">
        <v>17</v>
      </c>
      <c r="H27" s="6" t="s">
        <v>18</v>
      </c>
      <c r="I27" s="6" t="s">
        <v>40</v>
      </c>
      <c r="J27" s="7">
        <v>8592</v>
      </c>
      <c r="K27" s="7">
        <f>IF(ROW()=2,IF('Fluxo de Caixa'!$H27="Em aberto",0,IF('Fluxo de Caixa'!$B27="Saídas",-J27,J27)),IF('Fluxo de Caixa'!$H27="Em aberto",0,IF(OR('Fluxo de Caixa'!$B27="Saídas",AND('Fluxo de Caixa'!$B27="Transferências",'Fluxo de Caixa'!$C27="Transferências (Saídas)")),-J27,J27))+K26)</f>
        <v>40305</v>
      </c>
      <c r="L27" s="8">
        <f>IF(ROW()=2,IF('Fluxo de Caixa'!$B27="Saídas",-J27,J27),IF(OR('Fluxo de Caixa'!$B27="Saídas",AND('Fluxo de Caixa'!$B27="Transferências",'Fluxo de Caixa'!$C27="Transferências (Saídas)")),-J27,J27)+L26)</f>
        <v>40305</v>
      </c>
    </row>
    <row r="28" spans="1:12" ht="15.75" customHeight="1" x14ac:dyDescent="0.25">
      <c r="A28" s="3">
        <v>43647</v>
      </c>
      <c r="B28" s="4" t="s">
        <v>12</v>
      </c>
      <c r="C28" s="5" t="s">
        <v>13</v>
      </c>
      <c r="D28" s="6" t="s">
        <v>64</v>
      </c>
      <c r="E28" s="6" t="s">
        <v>35</v>
      </c>
      <c r="F28" s="6" t="s">
        <v>31</v>
      </c>
      <c r="G28" s="6" t="s">
        <v>47</v>
      </c>
      <c r="H28" s="6" t="s">
        <v>18</v>
      </c>
      <c r="I28" s="6" t="s">
        <v>19</v>
      </c>
      <c r="J28" s="7">
        <v>7233</v>
      </c>
      <c r="K28" s="7">
        <f>IF(ROW()=2,IF('Fluxo de Caixa'!$H28="Em aberto",0,IF('Fluxo de Caixa'!$B28="Saídas",-J28,J28)),IF('Fluxo de Caixa'!$H28="Em aberto",0,IF(OR('Fluxo de Caixa'!$B28="Saídas",AND('Fluxo de Caixa'!$B28="Transferências",'Fluxo de Caixa'!$C28="Transferências (Saídas)")),-J28,J28))+K27)</f>
        <v>47538</v>
      </c>
      <c r="L28" s="8">
        <f>IF(ROW()=2,IF('Fluxo de Caixa'!$B28="Saídas",-J28,J28),IF(OR('Fluxo de Caixa'!$B28="Saídas",AND('Fluxo de Caixa'!$B28="Transferências",'Fluxo de Caixa'!$C28="Transferências (Saídas)")),-J28,J28)+L27)</f>
        <v>47538</v>
      </c>
    </row>
    <row r="29" spans="1:12" ht="15.75" customHeight="1" x14ac:dyDescent="0.25">
      <c r="A29" s="3">
        <v>43649</v>
      </c>
      <c r="B29" s="4" t="s">
        <v>12</v>
      </c>
      <c r="C29" s="5" t="s">
        <v>33</v>
      </c>
      <c r="D29" s="6" t="s">
        <v>65</v>
      </c>
      <c r="E29" s="6" t="s">
        <v>30</v>
      </c>
      <c r="F29" s="6" t="s">
        <v>31</v>
      </c>
      <c r="G29" s="6" t="s">
        <v>32</v>
      </c>
      <c r="H29" s="6" t="s">
        <v>18</v>
      </c>
      <c r="I29" s="6" t="s">
        <v>40</v>
      </c>
      <c r="J29" s="7">
        <v>5653</v>
      </c>
      <c r="K29" s="7">
        <f>IF(ROW()=2,IF('Fluxo de Caixa'!$H29="Em aberto",0,IF('Fluxo de Caixa'!$B29="Saídas",-J29,J29)),IF('Fluxo de Caixa'!$H29="Em aberto",0,IF(OR('Fluxo de Caixa'!$B29="Saídas",AND('Fluxo de Caixa'!$B29="Transferências",'Fluxo de Caixa'!$C29="Transferências (Saídas)")),-J29,J29))+K28)</f>
        <v>53191</v>
      </c>
      <c r="L29" s="8">
        <f>IF(ROW()=2,IF('Fluxo de Caixa'!$B29="Saídas",-J29,J29),IF(OR('Fluxo de Caixa'!$B29="Saídas",AND('Fluxo de Caixa'!$B29="Transferências",'Fluxo de Caixa'!$C29="Transferências (Saídas)")),-J29,J29)+L28)</f>
        <v>53191</v>
      </c>
    </row>
    <row r="30" spans="1:12" ht="15.75" customHeight="1" x14ac:dyDescent="0.25">
      <c r="A30" s="3">
        <v>43651</v>
      </c>
      <c r="B30" s="4" t="s">
        <v>12</v>
      </c>
      <c r="C30" s="5" t="s">
        <v>66</v>
      </c>
      <c r="D30" s="6" t="s">
        <v>67</v>
      </c>
      <c r="E30" s="6" t="s">
        <v>15</v>
      </c>
      <c r="F30" s="6" t="s">
        <v>23</v>
      </c>
      <c r="G30" s="6" t="s">
        <v>32</v>
      </c>
      <c r="H30" s="6" t="s">
        <v>18</v>
      </c>
      <c r="I30" s="6" t="s">
        <v>40</v>
      </c>
      <c r="J30" s="7">
        <v>625</v>
      </c>
      <c r="K30" s="7">
        <f>IF(ROW()=2,IF('Fluxo de Caixa'!$H30="Em aberto",0,IF('Fluxo de Caixa'!$B30="Saídas",-J30,J30)),IF('Fluxo de Caixa'!$H30="Em aberto",0,IF(OR('Fluxo de Caixa'!$B30="Saídas",AND('Fluxo de Caixa'!$B30="Transferências",'Fluxo de Caixa'!$C30="Transferências (Saídas)")),-J30,J30))+K29)</f>
        <v>53816</v>
      </c>
      <c r="L30" s="8">
        <f>IF(ROW()=2,IF('Fluxo de Caixa'!$B30="Saídas",-J30,J30),IF(OR('Fluxo de Caixa'!$B30="Saídas",AND('Fluxo de Caixa'!$B30="Transferências",'Fluxo de Caixa'!$C30="Transferências (Saídas)")),-J30,J30)+L29)</f>
        <v>53816</v>
      </c>
    </row>
    <row r="31" spans="1:12" ht="15.75" customHeight="1" x14ac:dyDescent="0.25">
      <c r="A31" s="3">
        <v>43651</v>
      </c>
      <c r="B31" s="4" t="s">
        <v>12</v>
      </c>
      <c r="C31" s="5" t="s">
        <v>20</v>
      </c>
      <c r="D31" s="6" t="s">
        <v>68</v>
      </c>
      <c r="E31" s="6" t="s">
        <v>30</v>
      </c>
      <c r="F31" s="6" t="s">
        <v>31</v>
      </c>
      <c r="G31" s="6" t="s">
        <v>17</v>
      </c>
      <c r="H31" s="6" t="s">
        <v>18</v>
      </c>
      <c r="I31" s="6" t="s">
        <v>19</v>
      </c>
      <c r="J31" s="7">
        <v>5693</v>
      </c>
      <c r="K31" s="7">
        <f>IF(ROW()=2,IF('Fluxo de Caixa'!$H31="Em aberto",0,IF('Fluxo de Caixa'!$B31="Saídas",-J31,J31)),IF('Fluxo de Caixa'!$H31="Em aberto",0,IF(OR('Fluxo de Caixa'!$B31="Saídas",AND('Fluxo de Caixa'!$B31="Transferências",'Fluxo de Caixa'!$C31="Transferências (Saídas)")),-J31,J31))+K30)</f>
        <v>59509</v>
      </c>
      <c r="L31" s="8">
        <f>IF(ROW()=2,IF('Fluxo de Caixa'!$B31="Saídas",-J31,J31),IF(OR('Fluxo de Caixa'!$B31="Saídas",AND('Fluxo de Caixa'!$B31="Transferências",'Fluxo de Caixa'!$C31="Transferências (Saídas)")),-J31,J31)+L30)</f>
        <v>59509</v>
      </c>
    </row>
    <row r="32" spans="1:12" ht="15.75" customHeight="1" x14ac:dyDescent="0.25">
      <c r="A32" s="3">
        <v>43662</v>
      </c>
      <c r="B32" s="4" t="s">
        <v>25</v>
      </c>
      <c r="C32" s="5" t="s">
        <v>33</v>
      </c>
      <c r="D32" s="6" t="s">
        <v>69</v>
      </c>
      <c r="E32" s="6" t="s">
        <v>22</v>
      </c>
      <c r="F32" s="6" t="s">
        <v>16</v>
      </c>
      <c r="G32" s="6" t="s">
        <v>17</v>
      </c>
      <c r="H32" s="6" t="s">
        <v>18</v>
      </c>
      <c r="I32" s="6" t="s">
        <v>19</v>
      </c>
      <c r="J32" s="7">
        <v>269</v>
      </c>
      <c r="K32" s="7">
        <f>IF(ROW()=2,IF('Fluxo de Caixa'!$H32="Em aberto",0,IF('Fluxo de Caixa'!$B32="Saídas",-J32,J32)),IF('Fluxo de Caixa'!$H32="Em aberto",0,IF(OR('Fluxo de Caixa'!$B32="Saídas",AND('Fluxo de Caixa'!$B32="Transferências",'Fluxo de Caixa'!$C32="Transferências (Saídas)")),-J32,J32))+K31)</f>
        <v>59240</v>
      </c>
      <c r="L32" s="8">
        <f>IF(ROW()=2,IF('Fluxo de Caixa'!$B32="Saídas",-J32,J32),IF(OR('Fluxo de Caixa'!$B32="Saídas",AND('Fluxo de Caixa'!$B32="Transferências",'Fluxo de Caixa'!$C32="Transferências (Saídas)")),-J32,J32)+L31)</f>
        <v>59240</v>
      </c>
    </row>
    <row r="33" spans="1:12" ht="15.75" customHeight="1" x14ac:dyDescent="0.25">
      <c r="A33" s="3">
        <v>43673</v>
      </c>
      <c r="B33" s="4" t="s">
        <v>12</v>
      </c>
      <c r="C33" s="5" t="s">
        <v>33</v>
      </c>
      <c r="D33" s="6" t="s">
        <v>70</v>
      </c>
      <c r="E33" s="6" t="s">
        <v>30</v>
      </c>
      <c r="F33" s="6" t="s">
        <v>16</v>
      </c>
      <c r="G33" s="6" t="s">
        <v>47</v>
      </c>
      <c r="H33" s="6" t="s">
        <v>18</v>
      </c>
      <c r="I33" s="6" t="s">
        <v>19</v>
      </c>
      <c r="J33" s="7">
        <v>9291</v>
      </c>
      <c r="K33" s="7">
        <f>IF(ROW()=2,IF('Fluxo de Caixa'!$H33="Em aberto",0,IF('Fluxo de Caixa'!$B33="Saídas",-J33,J33)),IF('Fluxo de Caixa'!$H33="Em aberto",0,IF(OR('Fluxo de Caixa'!$B33="Saídas",AND('Fluxo de Caixa'!$B33="Transferências",'Fluxo de Caixa'!$C33="Transferências (Saídas)")),-J33,J33))+K32)</f>
        <v>68531</v>
      </c>
      <c r="L33" s="8">
        <f>IF(ROW()=2,IF('Fluxo de Caixa'!$B33="Saídas",-J33,J33),IF(OR('Fluxo de Caixa'!$B33="Saídas",AND('Fluxo de Caixa'!$B33="Transferências",'Fluxo de Caixa'!$C33="Transferências (Saídas)")),-J33,J33)+L32)</f>
        <v>68531</v>
      </c>
    </row>
    <row r="34" spans="1:12" ht="15.75" customHeight="1" x14ac:dyDescent="0.25">
      <c r="A34" s="3">
        <v>43678</v>
      </c>
      <c r="B34" s="4" t="s">
        <v>25</v>
      </c>
      <c r="C34" s="5" t="s">
        <v>26</v>
      </c>
      <c r="D34" s="6" t="s">
        <v>71</v>
      </c>
      <c r="E34" s="6" t="s">
        <v>15</v>
      </c>
      <c r="F34" s="6" t="s">
        <v>16</v>
      </c>
      <c r="G34" s="6" t="s">
        <v>28</v>
      </c>
      <c r="H34" s="6" t="s">
        <v>18</v>
      </c>
      <c r="I34" s="6" t="s">
        <v>40</v>
      </c>
      <c r="J34" s="7">
        <v>2221</v>
      </c>
      <c r="K34" s="7">
        <f>IF(ROW()=2,IF('Fluxo de Caixa'!$H34="Em aberto",0,IF('Fluxo de Caixa'!$B34="Saídas",-J34,J34)),IF('Fluxo de Caixa'!$H34="Em aberto",0,IF(OR('Fluxo de Caixa'!$B34="Saídas",AND('Fluxo de Caixa'!$B34="Transferências",'Fluxo de Caixa'!$C34="Transferências (Saídas)")),-J34,J34))+K33)</f>
        <v>66310</v>
      </c>
      <c r="L34" s="8">
        <f>IF(ROW()=2,IF('Fluxo de Caixa'!$B34="Saídas",-J34,J34),IF(OR('Fluxo de Caixa'!$B34="Saídas",AND('Fluxo de Caixa'!$B34="Transferências",'Fluxo de Caixa'!$C34="Transferências (Saídas)")),-J34,J34)+L33)</f>
        <v>66310</v>
      </c>
    </row>
    <row r="35" spans="1:12" ht="15.75" customHeight="1" x14ac:dyDescent="0.25">
      <c r="A35" s="3">
        <v>43679</v>
      </c>
      <c r="B35" s="4" t="s">
        <v>25</v>
      </c>
      <c r="C35" s="5" t="s">
        <v>36</v>
      </c>
      <c r="D35" s="6" t="s">
        <v>72</v>
      </c>
      <c r="E35" s="6" t="s">
        <v>30</v>
      </c>
      <c r="F35" s="6" t="s">
        <v>23</v>
      </c>
      <c r="G35" s="6" t="s">
        <v>47</v>
      </c>
      <c r="H35" s="6" t="s">
        <v>18</v>
      </c>
      <c r="I35" s="6" t="s">
        <v>19</v>
      </c>
      <c r="J35" s="7">
        <v>5727</v>
      </c>
      <c r="K35" s="7">
        <f>IF(ROW()=2,IF('Fluxo de Caixa'!$H35="Em aberto",0,IF('Fluxo de Caixa'!$B35="Saídas",-J35,J35)),IF('Fluxo de Caixa'!$H35="Em aberto",0,IF(OR('Fluxo de Caixa'!$B35="Saídas",AND('Fluxo de Caixa'!$B35="Transferências",'Fluxo de Caixa'!$C35="Transferências (Saídas)")),-J35,J35))+K34)</f>
        <v>60583</v>
      </c>
      <c r="L35" s="8">
        <f>IF(ROW()=2,IF('Fluxo de Caixa'!$B35="Saídas",-J35,J35),IF(OR('Fluxo de Caixa'!$B35="Saídas",AND('Fluxo de Caixa'!$B35="Transferências",'Fluxo de Caixa'!$C35="Transferências (Saídas)")),-J35,J35)+L34)</f>
        <v>60583</v>
      </c>
    </row>
    <row r="36" spans="1:12" ht="15.75" customHeight="1" x14ac:dyDescent="0.25">
      <c r="A36" s="3">
        <v>43679</v>
      </c>
      <c r="B36" s="4" t="s">
        <v>25</v>
      </c>
      <c r="C36" s="5" t="s">
        <v>57</v>
      </c>
      <c r="D36" s="6" t="s">
        <v>73</v>
      </c>
      <c r="E36" s="6" t="s">
        <v>22</v>
      </c>
      <c r="F36" s="6" t="s">
        <v>16</v>
      </c>
      <c r="G36" s="6" t="s">
        <v>47</v>
      </c>
      <c r="H36" s="6" t="s">
        <v>18</v>
      </c>
      <c r="I36" s="6" t="s">
        <v>40</v>
      </c>
      <c r="J36" s="7">
        <v>2730</v>
      </c>
      <c r="K36" s="7">
        <f>IF(ROW()=2,IF('Fluxo de Caixa'!$H36="Em aberto",0,IF('Fluxo de Caixa'!$B36="Saídas",-J36,J36)),IF('Fluxo de Caixa'!$H36="Em aberto",0,IF(OR('Fluxo de Caixa'!$B36="Saídas",AND('Fluxo de Caixa'!$B36="Transferências",'Fluxo de Caixa'!$C36="Transferências (Saídas)")),-J36,J36))+K35)</f>
        <v>57853</v>
      </c>
      <c r="L36" s="8">
        <f>IF(ROW()=2,IF('Fluxo de Caixa'!$B36="Saídas",-J36,J36),IF(OR('Fluxo de Caixa'!$B36="Saídas",AND('Fluxo de Caixa'!$B36="Transferências",'Fluxo de Caixa'!$C36="Transferências (Saídas)")),-J36,J36)+L35)</f>
        <v>57853</v>
      </c>
    </row>
    <row r="37" spans="1:12" ht="15.75" customHeight="1" x14ac:dyDescent="0.25">
      <c r="A37" s="3">
        <v>43688</v>
      </c>
      <c r="B37" s="4" t="s">
        <v>25</v>
      </c>
      <c r="C37" s="5" t="s">
        <v>26</v>
      </c>
      <c r="D37" s="6" t="s">
        <v>74</v>
      </c>
      <c r="E37" s="6" t="s">
        <v>30</v>
      </c>
      <c r="F37" s="6" t="s">
        <v>23</v>
      </c>
      <c r="G37" s="6" t="s">
        <v>43</v>
      </c>
      <c r="H37" s="6" t="s">
        <v>18</v>
      </c>
      <c r="I37" s="6" t="s">
        <v>40</v>
      </c>
      <c r="J37" s="7">
        <v>3034</v>
      </c>
      <c r="K37" s="7">
        <f>IF(ROW()=2,IF('Fluxo de Caixa'!$H37="Em aberto",0,IF('Fluxo de Caixa'!$B37="Saídas",-J37,J37)),IF('Fluxo de Caixa'!$H37="Em aberto",0,IF(OR('Fluxo de Caixa'!$B37="Saídas",AND('Fluxo de Caixa'!$B37="Transferências",'Fluxo de Caixa'!$C37="Transferências (Saídas)")),-J37,J37))+K36)</f>
        <v>54819</v>
      </c>
      <c r="L37" s="8">
        <f>IF(ROW()=2,IF('Fluxo de Caixa'!$B37="Saídas",-J37,J37),IF(OR('Fluxo de Caixa'!$B37="Saídas",AND('Fluxo de Caixa'!$B37="Transferências",'Fluxo de Caixa'!$C37="Transferências (Saídas)")),-J37,J37)+L36)</f>
        <v>54819</v>
      </c>
    </row>
    <row r="38" spans="1:12" ht="15.75" customHeight="1" x14ac:dyDescent="0.25">
      <c r="A38" s="3">
        <v>43695</v>
      </c>
      <c r="B38" s="4" t="s">
        <v>12</v>
      </c>
      <c r="C38" s="5" t="s">
        <v>26</v>
      </c>
      <c r="D38" s="6" t="s">
        <v>75</v>
      </c>
      <c r="E38" s="6" t="s">
        <v>30</v>
      </c>
      <c r="F38" s="6" t="s">
        <v>23</v>
      </c>
      <c r="G38" s="6" t="s">
        <v>43</v>
      </c>
      <c r="H38" s="6" t="s">
        <v>18</v>
      </c>
      <c r="I38" s="6" t="s">
        <v>19</v>
      </c>
      <c r="J38" s="7">
        <v>9860</v>
      </c>
      <c r="K38" s="7">
        <f>IF(ROW()=2,IF('Fluxo de Caixa'!$H38="Em aberto",0,IF('Fluxo de Caixa'!$B38="Saídas",-J38,J38)),IF('Fluxo de Caixa'!$H38="Em aberto",0,IF(OR('Fluxo de Caixa'!$B38="Saídas",AND('Fluxo de Caixa'!$B38="Transferências",'Fluxo de Caixa'!$C38="Transferências (Saídas)")),-J38,J38))+K37)</f>
        <v>64679</v>
      </c>
      <c r="L38" s="8">
        <f>IF(ROW()=2,IF('Fluxo de Caixa'!$B38="Saídas",-J38,J38),IF(OR('Fluxo de Caixa'!$B38="Saídas",AND('Fluxo de Caixa'!$B38="Transferências",'Fluxo de Caixa'!$C38="Transferências (Saídas)")),-J38,J38)+L37)</f>
        <v>64679</v>
      </c>
    </row>
    <row r="39" spans="1:12" ht="15.75" customHeight="1" x14ac:dyDescent="0.25">
      <c r="A39" s="3">
        <v>43699</v>
      </c>
      <c r="B39" s="4" t="s">
        <v>12</v>
      </c>
      <c r="C39" s="5" t="s">
        <v>33</v>
      </c>
      <c r="D39" s="6" t="s">
        <v>76</v>
      </c>
      <c r="E39" s="6" t="s">
        <v>30</v>
      </c>
      <c r="F39" s="6" t="s">
        <v>23</v>
      </c>
      <c r="G39" s="6" t="s">
        <v>47</v>
      </c>
      <c r="H39" s="6" t="s">
        <v>18</v>
      </c>
      <c r="I39" s="6" t="s">
        <v>24</v>
      </c>
      <c r="J39" s="7">
        <v>8918</v>
      </c>
      <c r="K39" s="7">
        <f>IF(ROW()=2,IF('Fluxo de Caixa'!$H39="Em aberto",0,IF('Fluxo de Caixa'!$B39="Saídas",-J39,J39)),IF('Fluxo de Caixa'!$H39="Em aberto",0,IF(OR('Fluxo de Caixa'!$B39="Saídas",AND('Fluxo de Caixa'!$B39="Transferências",'Fluxo de Caixa'!$C39="Transferências (Saídas)")),-J39,J39))+K38)</f>
        <v>73597</v>
      </c>
      <c r="L39" s="8">
        <f>IF(ROW()=2,IF('Fluxo de Caixa'!$B39="Saídas",-J39,J39),IF(OR('Fluxo de Caixa'!$B39="Saídas",AND('Fluxo de Caixa'!$B39="Transferências",'Fluxo de Caixa'!$C39="Transferências (Saídas)")),-J39,J39)+L38)</f>
        <v>73597</v>
      </c>
    </row>
    <row r="40" spans="1:12" ht="15.75" customHeight="1" x14ac:dyDescent="0.25">
      <c r="A40" s="3">
        <v>43707</v>
      </c>
      <c r="B40" s="4" t="s">
        <v>25</v>
      </c>
      <c r="C40" s="5" t="s">
        <v>33</v>
      </c>
      <c r="D40" s="6" t="s">
        <v>77</v>
      </c>
      <c r="E40" s="6" t="s">
        <v>15</v>
      </c>
      <c r="F40" s="6" t="s">
        <v>16</v>
      </c>
      <c r="G40" s="6" t="s">
        <v>32</v>
      </c>
      <c r="H40" s="6" t="s">
        <v>18</v>
      </c>
      <c r="I40" s="6" t="s">
        <v>24</v>
      </c>
      <c r="J40" s="7">
        <v>6671</v>
      </c>
      <c r="K40" s="7">
        <f>IF(ROW()=2,IF('Fluxo de Caixa'!$H40="Em aberto",0,IF('Fluxo de Caixa'!$B40="Saídas",-J40,J40)),IF('Fluxo de Caixa'!$H40="Em aberto",0,IF(OR('Fluxo de Caixa'!$B40="Saídas",AND('Fluxo de Caixa'!$B40="Transferências",'Fluxo de Caixa'!$C40="Transferências (Saídas)")),-J40,J40))+K39)</f>
        <v>66926</v>
      </c>
      <c r="L40" s="8">
        <f>IF(ROW()=2,IF('Fluxo de Caixa'!$B40="Saídas",-J40,J40),IF(OR('Fluxo de Caixa'!$B40="Saídas",AND('Fluxo de Caixa'!$B40="Transferências",'Fluxo de Caixa'!$C40="Transferências (Saídas)")),-J40,J40)+L39)</f>
        <v>66926</v>
      </c>
    </row>
    <row r="41" spans="1:12" ht="15.75" customHeight="1" x14ac:dyDescent="0.25">
      <c r="A41" s="3">
        <v>43707</v>
      </c>
      <c r="B41" s="4" t="s">
        <v>25</v>
      </c>
      <c r="C41" s="5" t="s">
        <v>20</v>
      </c>
      <c r="D41" s="6" t="s">
        <v>78</v>
      </c>
      <c r="E41" s="6" t="s">
        <v>30</v>
      </c>
      <c r="F41" s="6" t="s">
        <v>16</v>
      </c>
      <c r="G41" s="6" t="s">
        <v>28</v>
      </c>
      <c r="H41" s="6" t="s">
        <v>18</v>
      </c>
      <c r="I41" s="6" t="s">
        <v>24</v>
      </c>
      <c r="J41" s="7">
        <v>6074</v>
      </c>
      <c r="K41" s="7">
        <f>IF(ROW()=2,IF('Fluxo de Caixa'!$H41="Em aberto",0,IF('Fluxo de Caixa'!$B41="Saídas",-J41,J41)),IF('Fluxo de Caixa'!$H41="Em aberto",0,IF(OR('Fluxo de Caixa'!$B41="Saídas",AND('Fluxo de Caixa'!$B41="Transferências",'Fluxo de Caixa'!$C41="Transferências (Saídas)")),-J41,J41))+K40)</f>
        <v>60852</v>
      </c>
      <c r="L41" s="8">
        <f>IF(ROW()=2,IF('Fluxo de Caixa'!$B41="Saídas",-J41,J41),IF(OR('Fluxo de Caixa'!$B41="Saídas",AND('Fluxo de Caixa'!$B41="Transferências",'Fluxo de Caixa'!$C41="Transferências (Saídas)")),-J41,J41)+L40)</f>
        <v>60852</v>
      </c>
    </row>
    <row r="42" spans="1:12" ht="15.75" customHeight="1" x14ac:dyDescent="0.25">
      <c r="A42" s="3">
        <v>43710</v>
      </c>
      <c r="B42" s="4" t="s">
        <v>12</v>
      </c>
      <c r="C42" s="5" t="s">
        <v>33</v>
      </c>
      <c r="D42" s="6" t="s">
        <v>79</v>
      </c>
      <c r="E42" s="6" t="s">
        <v>38</v>
      </c>
      <c r="F42" s="6" t="s">
        <v>31</v>
      </c>
      <c r="G42" s="6" t="s">
        <v>32</v>
      </c>
      <c r="H42" s="6" t="s">
        <v>18</v>
      </c>
      <c r="I42" s="6" t="s">
        <v>24</v>
      </c>
      <c r="J42" s="7">
        <v>3311</v>
      </c>
      <c r="K42" s="7">
        <f>IF(ROW()=2,IF('Fluxo de Caixa'!$H42="Em aberto",0,IF('Fluxo de Caixa'!$B42="Saídas",-J42,J42)),IF('Fluxo de Caixa'!$H42="Em aberto",0,IF(OR('Fluxo de Caixa'!$B42="Saídas",AND('Fluxo de Caixa'!$B42="Transferências",'Fluxo de Caixa'!$C42="Transferências (Saídas)")),-J42,J42))+K41)</f>
        <v>64163</v>
      </c>
      <c r="L42" s="8">
        <f>IF(ROW()=2,IF('Fluxo de Caixa'!$B42="Saídas",-J42,J42),IF(OR('Fluxo de Caixa'!$B42="Saídas",AND('Fluxo de Caixa'!$B42="Transferências",'Fluxo de Caixa'!$C42="Transferências (Saídas)")),-J42,J42)+L41)</f>
        <v>64163</v>
      </c>
    </row>
    <row r="43" spans="1:12" ht="15.75" customHeight="1" x14ac:dyDescent="0.25">
      <c r="A43" s="3">
        <v>43713</v>
      </c>
      <c r="B43" s="4" t="s">
        <v>25</v>
      </c>
      <c r="C43" s="5" t="s">
        <v>36</v>
      </c>
      <c r="D43" s="6" t="s">
        <v>80</v>
      </c>
      <c r="E43" s="6" t="s">
        <v>38</v>
      </c>
      <c r="F43" s="6" t="s">
        <v>16</v>
      </c>
      <c r="G43" s="6" t="s">
        <v>17</v>
      </c>
      <c r="H43" s="6" t="s">
        <v>18</v>
      </c>
      <c r="I43" s="6" t="s">
        <v>40</v>
      </c>
      <c r="J43" s="7">
        <v>4516</v>
      </c>
      <c r="K43" s="7">
        <f>IF(ROW()=2,IF('Fluxo de Caixa'!$H43="Em aberto",0,IF('Fluxo de Caixa'!$B43="Saídas",-J43,J43)),IF('Fluxo de Caixa'!$H43="Em aberto",0,IF(OR('Fluxo de Caixa'!$B43="Saídas",AND('Fluxo de Caixa'!$B43="Transferências",'Fluxo de Caixa'!$C43="Transferências (Saídas)")),-J43,J43))+K42)</f>
        <v>59647</v>
      </c>
      <c r="L43" s="8">
        <f>IF(ROW()=2,IF('Fluxo de Caixa'!$B43="Saídas",-J43,J43),IF(OR('Fluxo de Caixa'!$B43="Saídas",AND('Fluxo de Caixa'!$B43="Transferências",'Fluxo de Caixa'!$C43="Transferências (Saídas)")),-J43,J43)+L42)</f>
        <v>59647</v>
      </c>
    </row>
    <row r="44" spans="1:12" ht="15.75" customHeight="1" x14ac:dyDescent="0.25">
      <c r="A44" s="3">
        <v>43714</v>
      </c>
      <c r="B44" s="4" t="s">
        <v>12</v>
      </c>
      <c r="C44" s="5" t="s">
        <v>36</v>
      </c>
      <c r="D44" s="6" t="s">
        <v>81</v>
      </c>
      <c r="E44" s="6" t="s">
        <v>38</v>
      </c>
      <c r="F44" s="6" t="s">
        <v>23</v>
      </c>
      <c r="G44" s="6" t="s">
        <v>47</v>
      </c>
      <c r="H44" s="6" t="s">
        <v>18</v>
      </c>
      <c r="I44" s="6" t="s">
        <v>24</v>
      </c>
      <c r="J44" s="7">
        <v>3402</v>
      </c>
      <c r="K44" s="7">
        <f>IF(ROW()=2,IF('Fluxo de Caixa'!$H44="Em aberto",0,IF('Fluxo de Caixa'!$B44="Saídas",-J44,J44)),IF('Fluxo de Caixa'!$H44="Em aberto",0,IF(OR('Fluxo de Caixa'!$B44="Saídas",AND('Fluxo de Caixa'!$B44="Transferências",'Fluxo de Caixa'!$C44="Transferências (Saídas)")),-J44,J44))+K43)</f>
        <v>63049</v>
      </c>
      <c r="L44" s="8">
        <f>IF(ROW()=2,IF('Fluxo de Caixa'!$B44="Saídas",-J44,J44),IF(OR('Fluxo de Caixa'!$B44="Saídas",AND('Fluxo de Caixa'!$B44="Transferências",'Fluxo de Caixa'!$C44="Transferências (Saídas)")),-J44,J44)+L43)</f>
        <v>63049</v>
      </c>
    </row>
    <row r="45" spans="1:12" ht="15.75" customHeight="1" x14ac:dyDescent="0.25">
      <c r="A45" s="3">
        <v>43715</v>
      </c>
      <c r="B45" s="4" t="s">
        <v>12</v>
      </c>
      <c r="C45" s="5" t="s">
        <v>36</v>
      </c>
      <c r="D45" s="6" t="s">
        <v>82</v>
      </c>
      <c r="E45" s="6" t="s">
        <v>22</v>
      </c>
      <c r="F45" s="6" t="s">
        <v>23</v>
      </c>
      <c r="G45" s="6" t="s">
        <v>47</v>
      </c>
      <c r="H45" s="6" t="s">
        <v>18</v>
      </c>
      <c r="I45" s="6" t="s">
        <v>40</v>
      </c>
      <c r="J45" s="7">
        <v>3292</v>
      </c>
      <c r="K45" s="7">
        <f>IF(ROW()=2,IF('Fluxo de Caixa'!$H45="Em aberto",0,IF('Fluxo de Caixa'!$B45="Saídas",-J45,J45)),IF('Fluxo de Caixa'!$H45="Em aberto",0,IF(OR('Fluxo de Caixa'!$B45="Saídas",AND('Fluxo de Caixa'!$B45="Transferências",'Fluxo de Caixa'!$C45="Transferências (Saídas)")),-J45,J45))+K44)</f>
        <v>66341</v>
      </c>
      <c r="L45" s="8">
        <f>IF(ROW()=2,IF('Fluxo de Caixa'!$B45="Saídas",-J45,J45),IF(OR('Fluxo de Caixa'!$B45="Saídas",AND('Fluxo de Caixa'!$B45="Transferências",'Fluxo de Caixa'!$C45="Transferências (Saídas)")),-J45,J45)+L44)</f>
        <v>66341</v>
      </c>
    </row>
    <row r="46" spans="1:12" ht="15.75" customHeight="1" x14ac:dyDescent="0.25">
      <c r="A46" s="3">
        <v>43717</v>
      </c>
      <c r="B46" s="4" t="s">
        <v>12</v>
      </c>
      <c r="C46" s="5" t="s">
        <v>20</v>
      </c>
      <c r="D46" s="6" t="s">
        <v>83</v>
      </c>
      <c r="E46" s="6" t="s">
        <v>38</v>
      </c>
      <c r="F46" s="6" t="s">
        <v>31</v>
      </c>
      <c r="G46" s="6" t="s">
        <v>32</v>
      </c>
      <c r="H46" s="6" t="s">
        <v>18</v>
      </c>
      <c r="I46" s="6" t="s">
        <v>40</v>
      </c>
      <c r="J46" s="7">
        <v>7867</v>
      </c>
      <c r="K46" s="7">
        <f>IF(ROW()=2,IF('Fluxo de Caixa'!$H46="Em aberto",0,IF('Fluxo de Caixa'!$B46="Saídas",-J46,J46)),IF('Fluxo de Caixa'!$H46="Em aberto",0,IF(OR('Fluxo de Caixa'!$B46="Saídas",AND('Fluxo de Caixa'!$B46="Transferências",'Fluxo de Caixa'!$C46="Transferências (Saídas)")),-J46,J46))+K45)</f>
        <v>74208</v>
      </c>
      <c r="L46" s="8">
        <f>IF(ROW()=2,IF('Fluxo de Caixa'!$B46="Saídas",-J46,J46),IF(OR('Fluxo de Caixa'!$B46="Saídas",AND('Fluxo de Caixa'!$B46="Transferências",'Fluxo de Caixa'!$C46="Transferências (Saídas)")),-J46,J46)+L45)</f>
        <v>74208</v>
      </c>
    </row>
    <row r="47" spans="1:12" ht="15.75" customHeight="1" x14ac:dyDescent="0.25">
      <c r="A47" s="3">
        <v>43719</v>
      </c>
      <c r="B47" s="4" t="s">
        <v>25</v>
      </c>
      <c r="C47" s="5" t="s">
        <v>33</v>
      </c>
      <c r="D47" s="6" t="s">
        <v>84</v>
      </c>
      <c r="E47" s="6" t="s">
        <v>22</v>
      </c>
      <c r="F47" s="6" t="s">
        <v>23</v>
      </c>
      <c r="G47" s="6" t="s">
        <v>17</v>
      </c>
      <c r="H47" s="6" t="s">
        <v>18</v>
      </c>
      <c r="I47" s="6" t="s">
        <v>24</v>
      </c>
      <c r="J47" s="7">
        <v>3035</v>
      </c>
      <c r="K47" s="7">
        <f>IF(ROW()=2,IF('Fluxo de Caixa'!$H47="Em aberto",0,IF('Fluxo de Caixa'!$B47="Saídas",-J47,J47)),IF('Fluxo de Caixa'!$H47="Em aberto",0,IF(OR('Fluxo de Caixa'!$B47="Saídas",AND('Fluxo de Caixa'!$B47="Transferências",'Fluxo de Caixa'!$C47="Transferências (Saídas)")),-J47,J47))+K46)</f>
        <v>71173</v>
      </c>
      <c r="L47" s="8">
        <f>IF(ROW()=2,IF('Fluxo de Caixa'!$B47="Saídas",-J47,J47),IF(OR('Fluxo de Caixa'!$B47="Saídas",AND('Fluxo de Caixa'!$B47="Transferências",'Fluxo de Caixa'!$C47="Transferências (Saídas)")),-J47,J47)+L46)</f>
        <v>71173</v>
      </c>
    </row>
    <row r="48" spans="1:12" ht="15.75" customHeight="1" x14ac:dyDescent="0.25">
      <c r="A48" s="3">
        <v>43729</v>
      </c>
      <c r="B48" s="4" t="s">
        <v>25</v>
      </c>
      <c r="C48" s="5" t="s">
        <v>33</v>
      </c>
      <c r="D48" s="6" t="s">
        <v>85</v>
      </c>
      <c r="E48" s="6" t="s">
        <v>30</v>
      </c>
      <c r="F48" s="6" t="s">
        <v>16</v>
      </c>
      <c r="G48" s="6" t="s">
        <v>17</v>
      </c>
      <c r="H48" s="6" t="s">
        <v>18</v>
      </c>
      <c r="I48" s="6" t="s">
        <v>19</v>
      </c>
      <c r="J48" s="7">
        <v>8208</v>
      </c>
      <c r="K48" s="7">
        <f>IF(ROW()=2,IF('Fluxo de Caixa'!$H48="Em aberto",0,IF('Fluxo de Caixa'!$B48="Saídas",-J48,J48)),IF('Fluxo de Caixa'!$H48="Em aberto",0,IF(OR('Fluxo de Caixa'!$B48="Saídas",AND('Fluxo de Caixa'!$B48="Transferências",'Fluxo de Caixa'!$C48="Transferências (Saídas)")),-J48,J48))+K47)</f>
        <v>62965</v>
      </c>
      <c r="L48" s="8">
        <f>IF(ROW()=2,IF('Fluxo de Caixa'!$B48="Saídas",-J48,J48),IF(OR('Fluxo de Caixa'!$B48="Saídas",AND('Fluxo de Caixa'!$B48="Transferências",'Fluxo de Caixa'!$C48="Transferências (Saídas)")),-J48,J48)+L47)</f>
        <v>62965</v>
      </c>
    </row>
    <row r="49" spans="1:12" ht="15.75" customHeight="1" x14ac:dyDescent="0.25">
      <c r="A49" s="3">
        <v>43732</v>
      </c>
      <c r="B49" s="4" t="s">
        <v>25</v>
      </c>
      <c r="C49" s="5" t="s">
        <v>26</v>
      </c>
      <c r="D49" s="6" t="s">
        <v>86</v>
      </c>
      <c r="E49" s="6" t="s">
        <v>22</v>
      </c>
      <c r="F49" s="6" t="s">
        <v>16</v>
      </c>
      <c r="G49" s="6" t="s">
        <v>32</v>
      </c>
      <c r="H49" s="6" t="s">
        <v>18</v>
      </c>
      <c r="I49" s="6" t="s">
        <v>24</v>
      </c>
      <c r="J49" s="7">
        <v>5340</v>
      </c>
      <c r="K49" s="7">
        <f>IF(ROW()=2,IF('Fluxo de Caixa'!$H49="Em aberto",0,IF('Fluxo de Caixa'!$B49="Saídas",-J49,J49)),IF('Fluxo de Caixa'!$H49="Em aberto",0,IF(OR('Fluxo de Caixa'!$B49="Saídas",AND('Fluxo de Caixa'!$B49="Transferências",'Fluxo de Caixa'!$C49="Transferências (Saídas)")),-J49,J49))+K48)</f>
        <v>57625</v>
      </c>
      <c r="L49" s="8">
        <f>IF(ROW()=2,IF('Fluxo de Caixa'!$B49="Saídas",-J49,J49),IF(OR('Fluxo de Caixa'!$B49="Saídas",AND('Fluxo de Caixa'!$B49="Transferências",'Fluxo de Caixa'!$C49="Transferências (Saídas)")),-J49,J49)+L48)</f>
        <v>57625</v>
      </c>
    </row>
    <row r="50" spans="1:12" ht="15.75" customHeight="1" x14ac:dyDescent="0.25">
      <c r="A50" s="3">
        <v>43734</v>
      </c>
      <c r="B50" s="4" t="s">
        <v>12</v>
      </c>
      <c r="C50" s="5" t="s">
        <v>20</v>
      </c>
      <c r="D50" s="6" t="s">
        <v>87</v>
      </c>
      <c r="E50" s="6" t="s">
        <v>22</v>
      </c>
      <c r="F50" s="6" t="s">
        <v>23</v>
      </c>
      <c r="G50" s="6" t="s">
        <v>17</v>
      </c>
      <c r="H50" s="6" t="s">
        <v>18</v>
      </c>
      <c r="I50" s="6" t="s">
        <v>24</v>
      </c>
      <c r="J50" s="7">
        <v>1173</v>
      </c>
      <c r="K50" s="7">
        <f>IF(ROW()=2,IF('Fluxo de Caixa'!$H50="Em aberto",0,IF('Fluxo de Caixa'!$B50="Saídas",-J50,J50)),IF('Fluxo de Caixa'!$H50="Em aberto",0,IF(OR('Fluxo de Caixa'!$B50="Saídas",AND('Fluxo de Caixa'!$B50="Transferências",'Fluxo de Caixa'!$C50="Transferências (Saídas)")),-J50,J50))+K49)</f>
        <v>58798</v>
      </c>
      <c r="L50" s="8">
        <f>IF(ROW()=2,IF('Fluxo de Caixa'!$B50="Saídas",-J50,J50),IF(OR('Fluxo de Caixa'!$B50="Saídas",AND('Fluxo de Caixa'!$B50="Transferências",'Fluxo de Caixa'!$C50="Transferências (Saídas)")),-J50,J50)+L49)</f>
        <v>58798</v>
      </c>
    </row>
    <row r="51" spans="1:12" ht="15.75" customHeight="1" x14ac:dyDescent="0.25">
      <c r="A51" s="3">
        <v>43735</v>
      </c>
      <c r="B51" s="4" t="s">
        <v>12</v>
      </c>
      <c r="C51" s="5" t="s">
        <v>20</v>
      </c>
      <c r="D51" s="6" t="s">
        <v>88</v>
      </c>
      <c r="E51" s="6" t="s">
        <v>22</v>
      </c>
      <c r="F51" s="6" t="s">
        <v>23</v>
      </c>
      <c r="G51" s="6" t="s">
        <v>32</v>
      </c>
      <c r="H51" s="6" t="s">
        <v>18</v>
      </c>
      <c r="I51" s="6" t="s">
        <v>19</v>
      </c>
      <c r="J51" s="7">
        <v>7517</v>
      </c>
      <c r="K51" s="7">
        <f>IF(ROW()=2,IF('Fluxo de Caixa'!$H51="Em aberto",0,IF('Fluxo de Caixa'!$B51="Saídas",-J51,J51)),IF('Fluxo de Caixa'!$H51="Em aberto",0,IF(OR('Fluxo de Caixa'!$B51="Saídas",AND('Fluxo de Caixa'!$B51="Transferências",'Fluxo de Caixa'!$C51="Transferências (Saídas)")),-J51,J51))+K50)</f>
        <v>66315</v>
      </c>
      <c r="L51" s="8">
        <f>IF(ROW()=2,IF('Fluxo de Caixa'!$B51="Saídas",-J51,J51),IF(OR('Fluxo de Caixa'!$B51="Saídas",AND('Fluxo de Caixa'!$B51="Transferências",'Fluxo de Caixa'!$C51="Transferências (Saídas)")),-J51,J51)+L50)</f>
        <v>66315</v>
      </c>
    </row>
    <row r="52" spans="1:12" ht="15.75" customHeight="1" x14ac:dyDescent="0.25">
      <c r="A52" s="3">
        <v>43735</v>
      </c>
      <c r="B52" s="4" t="s">
        <v>12</v>
      </c>
      <c r="C52" s="5" t="s">
        <v>36</v>
      </c>
      <c r="D52" s="6" t="s">
        <v>89</v>
      </c>
      <c r="E52" s="6" t="s">
        <v>22</v>
      </c>
      <c r="F52" s="6" t="s">
        <v>31</v>
      </c>
      <c r="G52" s="6" t="s">
        <v>28</v>
      </c>
      <c r="H52" s="6" t="s">
        <v>18</v>
      </c>
      <c r="I52" s="6" t="s">
        <v>40</v>
      </c>
      <c r="J52" s="7">
        <v>7566</v>
      </c>
      <c r="K52" s="7">
        <f>IF(ROW()=2,IF('Fluxo de Caixa'!$H52="Em aberto",0,IF('Fluxo de Caixa'!$B52="Saídas",-J52,J52)),IF('Fluxo de Caixa'!$H52="Em aberto",0,IF(OR('Fluxo de Caixa'!$B52="Saídas",AND('Fluxo de Caixa'!$B52="Transferências",'Fluxo de Caixa'!$C52="Transferências (Saídas)")),-J52,J52))+K51)</f>
        <v>73881</v>
      </c>
      <c r="L52" s="8">
        <f>IF(ROW()=2,IF('Fluxo de Caixa'!$B52="Saídas",-J52,J52),IF(OR('Fluxo de Caixa'!$B52="Saídas",AND('Fluxo de Caixa'!$B52="Transferências",'Fluxo de Caixa'!$C52="Transferências (Saídas)")),-J52,J52)+L51)</f>
        <v>73881</v>
      </c>
    </row>
    <row r="53" spans="1:12" ht="15.75" customHeight="1" x14ac:dyDescent="0.25">
      <c r="A53" s="3">
        <v>43739</v>
      </c>
      <c r="B53" s="4" t="s">
        <v>25</v>
      </c>
      <c r="C53" s="5" t="s">
        <v>33</v>
      </c>
      <c r="D53" s="6" t="s">
        <v>90</v>
      </c>
      <c r="E53" s="6" t="s">
        <v>30</v>
      </c>
      <c r="F53" s="6" t="s">
        <v>31</v>
      </c>
      <c r="G53" s="6" t="s">
        <v>17</v>
      </c>
      <c r="H53" s="6" t="s">
        <v>18</v>
      </c>
      <c r="I53" s="6" t="s">
        <v>40</v>
      </c>
      <c r="J53" s="7">
        <v>6391</v>
      </c>
      <c r="K53" s="7">
        <f>IF(ROW()=2,IF('Fluxo de Caixa'!$H53="Em aberto",0,IF('Fluxo de Caixa'!$B53="Saídas",-J53,J53)),IF('Fluxo de Caixa'!$H53="Em aberto",0,IF(OR('Fluxo de Caixa'!$B53="Saídas",AND('Fluxo de Caixa'!$B53="Transferências",'Fluxo de Caixa'!$C53="Transferências (Saídas)")),-J53,J53))+K52)</f>
        <v>67490</v>
      </c>
      <c r="L53" s="8">
        <f>IF(ROW()=2,IF('Fluxo de Caixa'!$B53="Saídas",-J53,J53),IF(OR('Fluxo de Caixa'!$B53="Saídas",AND('Fluxo de Caixa'!$B53="Transferências",'Fluxo de Caixa'!$C53="Transferências (Saídas)")),-J53,J53)+L52)</f>
        <v>67490</v>
      </c>
    </row>
    <row r="54" spans="1:12" ht="15.75" customHeight="1" x14ac:dyDescent="0.25">
      <c r="A54" s="3">
        <v>43743</v>
      </c>
      <c r="B54" s="4" t="s">
        <v>12</v>
      </c>
      <c r="C54" s="5" t="s">
        <v>33</v>
      </c>
      <c r="D54" s="6" t="s">
        <v>91</v>
      </c>
      <c r="E54" s="6" t="s">
        <v>22</v>
      </c>
      <c r="F54" s="6" t="s">
        <v>31</v>
      </c>
      <c r="G54" s="6" t="s">
        <v>43</v>
      </c>
      <c r="H54" s="6" t="s">
        <v>18</v>
      </c>
      <c r="I54" s="6" t="s">
        <v>24</v>
      </c>
      <c r="J54" s="7">
        <v>8058</v>
      </c>
      <c r="K54" s="7">
        <f>IF(ROW()=2,IF('Fluxo de Caixa'!$H54="Em aberto",0,IF('Fluxo de Caixa'!$B54="Saídas",-J54,J54)),IF('Fluxo de Caixa'!$H54="Em aberto",0,IF(OR('Fluxo de Caixa'!$B54="Saídas",AND('Fluxo de Caixa'!$B54="Transferências",'Fluxo de Caixa'!$C54="Transferências (Saídas)")),-J54,J54))+K53)</f>
        <v>75548</v>
      </c>
      <c r="L54" s="8">
        <f>IF(ROW()=2,IF('Fluxo de Caixa'!$B54="Saídas",-J54,J54),IF(OR('Fluxo de Caixa'!$B54="Saídas",AND('Fluxo de Caixa'!$B54="Transferências",'Fluxo de Caixa'!$C54="Transferências (Saídas)")),-J54,J54)+L53)</f>
        <v>75548</v>
      </c>
    </row>
    <row r="55" spans="1:12" ht="15.75" customHeight="1" x14ac:dyDescent="0.25">
      <c r="A55" s="3">
        <v>43746</v>
      </c>
      <c r="B55" s="4" t="s">
        <v>25</v>
      </c>
      <c r="C55" s="5" t="s">
        <v>26</v>
      </c>
      <c r="D55" s="6" t="s">
        <v>92</v>
      </c>
      <c r="E55" s="6" t="s">
        <v>35</v>
      </c>
      <c r="F55" s="6" t="s">
        <v>16</v>
      </c>
      <c r="G55" s="6" t="s">
        <v>47</v>
      </c>
      <c r="H55" s="6" t="s">
        <v>18</v>
      </c>
      <c r="I55" s="6" t="s">
        <v>24</v>
      </c>
      <c r="J55" s="7">
        <v>6717</v>
      </c>
      <c r="K55" s="7">
        <f>IF(ROW()=2,IF('Fluxo de Caixa'!$H55="Em aberto",0,IF('Fluxo de Caixa'!$B55="Saídas",-J55,J55)),IF('Fluxo de Caixa'!$H55="Em aberto",0,IF(OR('Fluxo de Caixa'!$B55="Saídas",AND('Fluxo de Caixa'!$B55="Transferências",'Fluxo de Caixa'!$C55="Transferências (Saídas)")),-J55,J55))+K54)</f>
        <v>68831</v>
      </c>
      <c r="L55" s="8">
        <f>IF(ROW()=2,IF('Fluxo de Caixa'!$B55="Saídas",-J55,J55),IF(OR('Fluxo de Caixa'!$B55="Saídas",AND('Fluxo de Caixa'!$B55="Transferências",'Fluxo de Caixa'!$C55="Transferências (Saídas)")),-J55,J55)+L54)</f>
        <v>68831</v>
      </c>
    </row>
    <row r="56" spans="1:12" ht="15.75" customHeight="1" x14ac:dyDescent="0.25">
      <c r="A56" s="3">
        <v>43753</v>
      </c>
      <c r="B56" s="4" t="s">
        <v>12</v>
      </c>
      <c r="C56" s="5" t="s">
        <v>33</v>
      </c>
      <c r="D56" s="6" t="s">
        <v>93</v>
      </c>
      <c r="E56" s="6" t="s">
        <v>35</v>
      </c>
      <c r="F56" s="6" t="s">
        <v>23</v>
      </c>
      <c r="G56" s="6" t="s">
        <v>47</v>
      </c>
      <c r="H56" s="6" t="s">
        <v>18</v>
      </c>
      <c r="I56" s="6" t="s">
        <v>19</v>
      </c>
      <c r="J56" s="7">
        <v>922</v>
      </c>
      <c r="K56" s="7">
        <f>IF(ROW()=2,IF('Fluxo de Caixa'!$H56="Em aberto",0,IF('Fluxo de Caixa'!$B56="Saídas",-J56,J56)),IF('Fluxo de Caixa'!$H56="Em aberto",0,IF(OR('Fluxo de Caixa'!$B56="Saídas",AND('Fluxo de Caixa'!$B56="Transferências",'Fluxo de Caixa'!$C56="Transferências (Saídas)")),-J56,J56))+K55)</f>
        <v>69753</v>
      </c>
      <c r="L56" s="8">
        <f>IF(ROW()=2,IF('Fluxo de Caixa'!$B56="Saídas",-J56,J56),IF(OR('Fluxo de Caixa'!$B56="Saídas",AND('Fluxo de Caixa'!$B56="Transferências",'Fluxo de Caixa'!$C56="Transferências (Saídas)")),-J56,J56)+L55)</f>
        <v>69753</v>
      </c>
    </row>
    <row r="57" spans="1:12" ht="15.75" customHeight="1" x14ac:dyDescent="0.25">
      <c r="A57" s="3">
        <v>43753</v>
      </c>
      <c r="B57" s="4" t="s">
        <v>12</v>
      </c>
      <c r="C57" s="5" t="s">
        <v>20</v>
      </c>
      <c r="D57" s="6" t="s">
        <v>94</v>
      </c>
      <c r="E57" s="6" t="s">
        <v>35</v>
      </c>
      <c r="F57" s="6" t="s">
        <v>16</v>
      </c>
      <c r="G57" s="6" t="s">
        <v>17</v>
      </c>
      <c r="H57" s="6" t="s">
        <v>18</v>
      </c>
      <c r="I57" s="6" t="s">
        <v>40</v>
      </c>
      <c r="J57" s="7">
        <v>7373</v>
      </c>
      <c r="K57" s="7">
        <f>IF(ROW()=2,IF('Fluxo de Caixa'!$H57="Em aberto",0,IF('Fluxo de Caixa'!$B57="Saídas",-J57,J57)),IF('Fluxo de Caixa'!$H57="Em aberto",0,IF(OR('Fluxo de Caixa'!$B57="Saídas",AND('Fluxo de Caixa'!$B57="Transferências",'Fluxo de Caixa'!$C57="Transferências (Saídas)")),-J57,J57))+K56)</f>
        <v>77126</v>
      </c>
      <c r="L57" s="8">
        <f>IF(ROW()=2,IF('Fluxo de Caixa'!$B57="Saídas",-J57,J57),IF(OR('Fluxo de Caixa'!$B57="Saídas",AND('Fluxo de Caixa'!$B57="Transferências",'Fluxo de Caixa'!$C57="Transferências (Saídas)")),-J57,J57)+L56)</f>
        <v>77126</v>
      </c>
    </row>
    <row r="58" spans="1:12" ht="15.75" customHeight="1" x14ac:dyDescent="0.25">
      <c r="A58" s="3">
        <v>43768</v>
      </c>
      <c r="B58" s="4" t="s">
        <v>12</v>
      </c>
      <c r="C58" s="5" t="s">
        <v>57</v>
      </c>
      <c r="D58" s="6" t="s">
        <v>95</v>
      </c>
      <c r="E58" s="6" t="s">
        <v>30</v>
      </c>
      <c r="F58" s="6" t="s">
        <v>31</v>
      </c>
      <c r="G58" s="6" t="s">
        <v>43</v>
      </c>
      <c r="H58" s="6" t="s">
        <v>18</v>
      </c>
      <c r="I58" s="6" t="s">
        <v>40</v>
      </c>
      <c r="J58" s="7">
        <v>4397</v>
      </c>
      <c r="K58" s="7">
        <f>IF(ROW()=2,IF('Fluxo de Caixa'!$H58="Em aberto",0,IF('Fluxo de Caixa'!$B58="Saídas",-J58,J58)),IF('Fluxo de Caixa'!$H58="Em aberto",0,IF(OR('Fluxo de Caixa'!$B58="Saídas",AND('Fluxo de Caixa'!$B58="Transferências",'Fluxo de Caixa'!$C58="Transferências (Saídas)")),-J58,J58))+K57)</f>
        <v>81523</v>
      </c>
      <c r="L58" s="8">
        <f>IF(ROW()=2,IF('Fluxo de Caixa'!$B58="Saídas",-J58,J58),IF(OR('Fluxo de Caixa'!$B58="Saídas",AND('Fluxo de Caixa'!$B58="Transferências",'Fluxo de Caixa'!$C58="Transferências (Saídas)")),-J58,J58)+L57)</f>
        <v>81523</v>
      </c>
    </row>
    <row r="59" spans="1:12" ht="15.75" customHeight="1" x14ac:dyDescent="0.25">
      <c r="A59" s="3">
        <v>43770</v>
      </c>
      <c r="B59" s="4" t="s">
        <v>12</v>
      </c>
      <c r="C59" s="5" t="s">
        <v>20</v>
      </c>
      <c r="D59" s="6" t="s">
        <v>96</v>
      </c>
      <c r="E59" s="6" t="s">
        <v>30</v>
      </c>
      <c r="F59" s="6" t="s">
        <v>31</v>
      </c>
      <c r="G59" s="6" t="s">
        <v>17</v>
      </c>
      <c r="H59" s="6" t="s">
        <v>18</v>
      </c>
      <c r="I59" s="6" t="s">
        <v>19</v>
      </c>
      <c r="J59" s="7">
        <v>9094</v>
      </c>
      <c r="K59" s="7">
        <f>IF(ROW()=2,IF('Fluxo de Caixa'!$H59="Em aberto",0,IF('Fluxo de Caixa'!$B59="Saídas",-J59,J59)),IF('Fluxo de Caixa'!$H59="Em aberto",0,IF(OR('Fluxo de Caixa'!$B59="Saídas",AND('Fluxo de Caixa'!$B59="Transferências",'Fluxo de Caixa'!$C59="Transferências (Saídas)")),-J59,J59))+K58)</f>
        <v>90617</v>
      </c>
      <c r="L59" s="8">
        <f>IF(ROW()=2,IF('Fluxo de Caixa'!$B59="Saídas",-J59,J59),IF(OR('Fluxo de Caixa'!$B59="Saídas",AND('Fluxo de Caixa'!$B59="Transferências",'Fluxo de Caixa'!$C59="Transferências (Saídas)")),-J59,J59)+L58)</f>
        <v>90617</v>
      </c>
    </row>
    <row r="60" spans="1:12" ht="15.75" customHeight="1" x14ac:dyDescent="0.25">
      <c r="A60" s="3">
        <v>43783</v>
      </c>
      <c r="B60" s="4" t="s">
        <v>12</v>
      </c>
      <c r="C60" s="5" t="s">
        <v>20</v>
      </c>
      <c r="D60" s="6" t="s">
        <v>97</v>
      </c>
      <c r="E60" s="6" t="s">
        <v>15</v>
      </c>
      <c r="F60" s="6" t="s">
        <v>16</v>
      </c>
      <c r="G60" s="6" t="s">
        <v>28</v>
      </c>
      <c r="H60" s="6" t="s">
        <v>18</v>
      </c>
      <c r="I60" s="6" t="s">
        <v>40</v>
      </c>
      <c r="J60" s="7">
        <v>4918</v>
      </c>
      <c r="K60" s="7">
        <f>IF(ROW()=2,IF('Fluxo de Caixa'!$H60="Em aberto",0,IF('Fluxo de Caixa'!$B60="Saídas",-J60,J60)),IF('Fluxo de Caixa'!$H60="Em aberto",0,IF(OR('Fluxo de Caixa'!$B60="Saídas",AND('Fluxo de Caixa'!$B60="Transferências",'Fluxo de Caixa'!$C60="Transferências (Saídas)")),-J60,J60))+K59)</f>
        <v>95535</v>
      </c>
      <c r="L60" s="8">
        <f>IF(ROW()=2,IF('Fluxo de Caixa'!$B60="Saídas",-J60,J60),IF(OR('Fluxo de Caixa'!$B60="Saídas",AND('Fluxo de Caixa'!$B60="Transferências",'Fluxo de Caixa'!$C60="Transferências (Saídas)")),-J60,J60)+L59)</f>
        <v>95535</v>
      </c>
    </row>
    <row r="61" spans="1:12" ht="15.75" customHeight="1" x14ac:dyDescent="0.25">
      <c r="A61" s="3">
        <v>43793</v>
      </c>
      <c r="B61" s="4" t="s">
        <v>12</v>
      </c>
      <c r="C61" s="5" t="s">
        <v>57</v>
      </c>
      <c r="D61" s="6" t="s">
        <v>98</v>
      </c>
      <c r="E61" s="6" t="s">
        <v>38</v>
      </c>
      <c r="F61" s="6" t="s">
        <v>16</v>
      </c>
      <c r="G61" s="6" t="s">
        <v>32</v>
      </c>
      <c r="H61" s="6" t="s">
        <v>18</v>
      </c>
      <c r="I61" s="6" t="s">
        <v>24</v>
      </c>
      <c r="J61" s="7">
        <v>7914</v>
      </c>
      <c r="K61" s="7">
        <f>IF(ROW()=2,IF('Fluxo de Caixa'!$H61="Em aberto",0,IF('Fluxo de Caixa'!$B61="Saídas",-J61,J61)),IF('Fluxo de Caixa'!$H61="Em aberto",0,IF(OR('Fluxo de Caixa'!$B61="Saídas",AND('Fluxo de Caixa'!$B61="Transferências",'Fluxo de Caixa'!$C61="Transferências (Saídas)")),-J61,J61))+K60)</f>
        <v>103449</v>
      </c>
      <c r="L61" s="8">
        <f>IF(ROW()=2,IF('Fluxo de Caixa'!$B61="Saídas",-J61,J61),IF(OR('Fluxo de Caixa'!$B61="Saídas",AND('Fluxo de Caixa'!$B61="Transferências",'Fluxo de Caixa'!$C61="Transferências (Saídas)")),-J61,J61)+L60)</f>
        <v>103449</v>
      </c>
    </row>
    <row r="62" spans="1:12" ht="15.75" customHeight="1" x14ac:dyDescent="0.25">
      <c r="A62" s="3">
        <v>43798</v>
      </c>
      <c r="B62" s="4" t="s">
        <v>25</v>
      </c>
      <c r="C62" s="5" t="s">
        <v>33</v>
      </c>
      <c r="D62" s="6" t="s">
        <v>99</v>
      </c>
      <c r="E62" s="6" t="s">
        <v>22</v>
      </c>
      <c r="F62" s="6" t="s">
        <v>16</v>
      </c>
      <c r="G62" s="6" t="s">
        <v>28</v>
      </c>
      <c r="H62" s="6" t="s">
        <v>18</v>
      </c>
      <c r="I62" s="6" t="s">
        <v>19</v>
      </c>
      <c r="J62" s="7">
        <v>6941</v>
      </c>
      <c r="K62" s="7">
        <f>IF(ROW()=2,IF('Fluxo de Caixa'!$H62="Em aberto",0,IF('Fluxo de Caixa'!$B62="Saídas",-J62,J62)),IF('Fluxo de Caixa'!$H62="Em aberto",0,IF(OR('Fluxo de Caixa'!$B62="Saídas",AND('Fluxo de Caixa'!$B62="Transferências",'Fluxo de Caixa'!$C62="Transferências (Saídas)")),-J62,J62))+K61)</f>
        <v>96508</v>
      </c>
      <c r="L62" s="8">
        <f>IF(ROW()=2,IF('Fluxo de Caixa'!$B62="Saídas",-J62,J62),IF(OR('Fluxo de Caixa'!$B62="Saídas",AND('Fluxo de Caixa'!$B62="Transferências",'Fluxo de Caixa'!$C62="Transferências (Saídas)")),-J62,J62)+L61)</f>
        <v>96508</v>
      </c>
    </row>
    <row r="63" spans="1:12" ht="15.75" customHeight="1" x14ac:dyDescent="0.25">
      <c r="A63" s="3">
        <v>43803</v>
      </c>
      <c r="B63" s="4" t="s">
        <v>12</v>
      </c>
      <c r="C63" s="5" t="s">
        <v>26</v>
      </c>
      <c r="D63" s="6" t="s">
        <v>100</v>
      </c>
      <c r="E63" s="6" t="s">
        <v>35</v>
      </c>
      <c r="F63" s="6" t="s">
        <v>23</v>
      </c>
      <c r="G63" s="6" t="s">
        <v>17</v>
      </c>
      <c r="H63" s="6" t="s">
        <v>18</v>
      </c>
      <c r="I63" s="6" t="s">
        <v>19</v>
      </c>
      <c r="J63" s="7">
        <v>9827</v>
      </c>
      <c r="K63" s="7">
        <f>IF(ROW()=2,IF('Fluxo de Caixa'!$H63="Em aberto",0,IF('Fluxo de Caixa'!$B63="Saídas",-J63,J63)),IF('Fluxo de Caixa'!$H63="Em aberto",0,IF(OR('Fluxo de Caixa'!$B63="Saídas",AND('Fluxo de Caixa'!$B63="Transferências",'Fluxo de Caixa'!$C63="Transferências (Saídas)")),-J63,J63))+K62)</f>
        <v>106335</v>
      </c>
      <c r="L63" s="8">
        <f>IF(ROW()=2,IF('Fluxo de Caixa'!$B63="Saídas",-J63,J63),IF(OR('Fluxo de Caixa'!$B63="Saídas",AND('Fluxo de Caixa'!$B63="Transferências",'Fluxo de Caixa'!$C63="Transferências (Saídas)")),-J63,J63)+L62)</f>
        <v>106335</v>
      </c>
    </row>
    <row r="64" spans="1:12" ht="15.75" customHeight="1" x14ac:dyDescent="0.25">
      <c r="A64" s="3">
        <v>43806</v>
      </c>
      <c r="B64" s="4" t="s">
        <v>25</v>
      </c>
      <c r="C64" s="5" t="s">
        <v>13</v>
      </c>
      <c r="D64" s="6" t="s">
        <v>101</v>
      </c>
      <c r="E64" s="6" t="s">
        <v>35</v>
      </c>
      <c r="F64" s="6" t="s">
        <v>16</v>
      </c>
      <c r="G64" s="6" t="s">
        <v>43</v>
      </c>
      <c r="H64" s="6" t="s">
        <v>18</v>
      </c>
      <c r="I64" s="6" t="s">
        <v>19</v>
      </c>
      <c r="J64" s="7">
        <v>3374</v>
      </c>
      <c r="K64" s="7">
        <f>IF(ROW()=2,IF('Fluxo de Caixa'!$H64="Em aberto",0,IF('Fluxo de Caixa'!$B64="Saídas",-J64,J64)),IF('Fluxo de Caixa'!$H64="Em aberto",0,IF(OR('Fluxo de Caixa'!$B64="Saídas",AND('Fluxo de Caixa'!$B64="Transferências",'Fluxo de Caixa'!$C64="Transferências (Saídas)")),-J64,J64))+K63)</f>
        <v>102961</v>
      </c>
      <c r="L64" s="8">
        <f>IF(ROW()=2,IF('Fluxo de Caixa'!$B64="Saídas",-J64,J64),IF(OR('Fluxo de Caixa'!$B64="Saídas",AND('Fluxo de Caixa'!$B64="Transferências",'Fluxo de Caixa'!$C64="Transferências (Saídas)")),-J64,J64)+L63)</f>
        <v>102961</v>
      </c>
    </row>
    <row r="65" spans="1:12" ht="15.75" customHeight="1" x14ac:dyDescent="0.25">
      <c r="A65" s="3">
        <v>43808</v>
      </c>
      <c r="B65" s="4" t="s">
        <v>25</v>
      </c>
      <c r="C65" s="5" t="s">
        <v>36</v>
      </c>
      <c r="D65" s="6" t="s">
        <v>102</v>
      </c>
      <c r="E65" s="6" t="s">
        <v>38</v>
      </c>
      <c r="F65" s="6" t="s">
        <v>16</v>
      </c>
      <c r="G65" s="6" t="s">
        <v>32</v>
      </c>
      <c r="H65" s="6" t="s">
        <v>18</v>
      </c>
      <c r="I65" s="6" t="s">
        <v>40</v>
      </c>
      <c r="J65" s="7">
        <v>290</v>
      </c>
      <c r="K65" s="7">
        <f>IF(ROW()=2,IF('Fluxo de Caixa'!$H65="Em aberto",0,IF('Fluxo de Caixa'!$B65="Saídas",-J65,J65)),IF('Fluxo de Caixa'!$H65="Em aberto",0,IF(OR('Fluxo de Caixa'!$B65="Saídas",AND('Fluxo de Caixa'!$B65="Transferências",'Fluxo de Caixa'!$C65="Transferências (Saídas)")),-J65,J65))+K64)</f>
        <v>102671</v>
      </c>
      <c r="L65" s="8">
        <f>IF(ROW()=2,IF('Fluxo de Caixa'!$B65="Saídas",-J65,J65),IF(OR('Fluxo de Caixa'!$B65="Saídas",AND('Fluxo de Caixa'!$B65="Transferências",'Fluxo de Caixa'!$C65="Transferências (Saídas)")),-J65,J65)+L64)</f>
        <v>102671</v>
      </c>
    </row>
    <row r="66" spans="1:12" ht="15.75" customHeight="1" x14ac:dyDescent="0.25">
      <c r="A66" s="3">
        <v>43810</v>
      </c>
      <c r="B66" s="4" t="s">
        <v>25</v>
      </c>
      <c r="C66" s="5" t="s">
        <v>26</v>
      </c>
      <c r="D66" s="6" t="s">
        <v>103</v>
      </c>
      <c r="E66" s="6" t="s">
        <v>38</v>
      </c>
      <c r="F66" s="6" t="s">
        <v>23</v>
      </c>
      <c r="G66" s="6" t="s">
        <v>32</v>
      </c>
      <c r="H66" s="6" t="s">
        <v>18</v>
      </c>
      <c r="I66" s="6" t="s">
        <v>24</v>
      </c>
      <c r="J66" s="7">
        <v>9186</v>
      </c>
      <c r="K66" s="7">
        <f>IF(ROW()=2,IF('Fluxo de Caixa'!$H66="Em aberto",0,IF('Fluxo de Caixa'!$B66="Saídas",-J66,J66)),IF('Fluxo de Caixa'!$H66="Em aberto",0,IF(OR('Fluxo de Caixa'!$B66="Saídas",AND('Fluxo de Caixa'!$B66="Transferências",'Fluxo de Caixa'!$C66="Transferências (Saídas)")),-J66,J66))+K65)</f>
        <v>93485</v>
      </c>
      <c r="L66" s="8">
        <f>IF(ROW()=2,IF('Fluxo de Caixa'!$B66="Saídas",-J66,J66),IF(OR('Fluxo de Caixa'!$B66="Saídas",AND('Fluxo de Caixa'!$B66="Transferências",'Fluxo de Caixa'!$C66="Transferências (Saídas)")),-J66,J66)+L65)</f>
        <v>93485</v>
      </c>
    </row>
    <row r="67" spans="1:12" ht="15.75" customHeight="1" x14ac:dyDescent="0.25">
      <c r="A67" s="3">
        <v>43816</v>
      </c>
      <c r="B67" s="4" t="s">
        <v>25</v>
      </c>
      <c r="C67" s="5" t="s">
        <v>66</v>
      </c>
      <c r="D67" s="6" t="s">
        <v>104</v>
      </c>
      <c r="E67" s="6" t="s">
        <v>35</v>
      </c>
      <c r="F67" s="6" t="s">
        <v>23</v>
      </c>
      <c r="G67" s="6" t="s">
        <v>32</v>
      </c>
      <c r="H67" s="6" t="s">
        <v>18</v>
      </c>
      <c r="I67" s="6" t="s">
        <v>19</v>
      </c>
      <c r="J67" s="7">
        <v>4254</v>
      </c>
      <c r="K67" s="7">
        <f>IF(ROW()=2,IF('Fluxo de Caixa'!$H67="Em aberto",0,IF('Fluxo de Caixa'!$B67="Saídas",-J67,J67)),IF('Fluxo de Caixa'!$H67="Em aberto",0,IF(OR('Fluxo de Caixa'!$B67="Saídas",AND('Fluxo de Caixa'!$B67="Transferências",'Fluxo de Caixa'!$C67="Transferências (Saídas)")),-J67,J67))+K66)</f>
        <v>89231</v>
      </c>
      <c r="L67" s="8">
        <f>IF(ROW()=2,IF('Fluxo de Caixa'!$B67="Saídas",-J67,J67),IF(OR('Fluxo de Caixa'!$B67="Saídas",AND('Fluxo de Caixa'!$B67="Transferências",'Fluxo de Caixa'!$C67="Transferências (Saídas)")),-J67,J67)+L66)</f>
        <v>89231</v>
      </c>
    </row>
    <row r="68" spans="1:12" ht="15.75" customHeight="1" x14ac:dyDescent="0.25">
      <c r="A68" s="3">
        <v>43824</v>
      </c>
      <c r="B68" s="4" t="s">
        <v>12</v>
      </c>
      <c r="C68" s="5" t="s">
        <v>26</v>
      </c>
      <c r="D68" s="6" t="s">
        <v>105</v>
      </c>
      <c r="E68" s="6" t="s">
        <v>35</v>
      </c>
      <c r="F68" s="6" t="s">
        <v>23</v>
      </c>
      <c r="G68" s="6" t="s">
        <v>32</v>
      </c>
      <c r="H68" s="6" t="s">
        <v>18</v>
      </c>
      <c r="I68" s="6" t="s">
        <v>19</v>
      </c>
      <c r="J68" s="7">
        <v>8889</v>
      </c>
      <c r="K68" s="7">
        <f>IF(ROW()=2,IF('Fluxo de Caixa'!$H68="Em aberto",0,IF('Fluxo de Caixa'!$B68="Saídas",-J68,J68)),IF('Fluxo de Caixa'!$H68="Em aberto",0,IF(OR('Fluxo de Caixa'!$B68="Saídas",AND('Fluxo de Caixa'!$B68="Transferências",'Fluxo de Caixa'!$C68="Transferências (Saídas)")),-J68,J68))+K67)</f>
        <v>98120</v>
      </c>
      <c r="L68" s="8">
        <f>IF(ROW()=2,IF('Fluxo de Caixa'!$B68="Saídas",-J68,J68),IF(OR('Fluxo de Caixa'!$B68="Saídas",AND('Fluxo de Caixa'!$B68="Transferências",'Fluxo de Caixa'!$C68="Transferências (Saídas)")),-J68,J68)+L67)</f>
        <v>98120</v>
      </c>
    </row>
    <row r="69" spans="1:12" ht="15.75" customHeight="1" x14ac:dyDescent="0.25">
      <c r="A69" s="3">
        <v>43829</v>
      </c>
      <c r="B69" s="4" t="s">
        <v>12</v>
      </c>
      <c r="C69" s="5" t="s">
        <v>106</v>
      </c>
      <c r="D69" s="6" t="s">
        <v>107</v>
      </c>
      <c r="E69" s="6" t="s">
        <v>35</v>
      </c>
      <c r="F69" s="6" t="s">
        <v>31</v>
      </c>
      <c r="G69" s="6" t="s">
        <v>17</v>
      </c>
      <c r="H69" s="6" t="s">
        <v>18</v>
      </c>
      <c r="I69" s="6" t="s">
        <v>19</v>
      </c>
      <c r="J69" s="7">
        <v>6865</v>
      </c>
      <c r="K69" s="7">
        <f>IF(ROW()=2,IF('Fluxo de Caixa'!$H69="Em aberto",0,IF('Fluxo de Caixa'!$B69="Saídas",-J69,J69)),IF('Fluxo de Caixa'!$H69="Em aberto",0,IF(OR('Fluxo de Caixa'!$B69="Saídas",AND('Fluxo de Caixa'!$B69="Transferências",'Fluxo de Caixa'!$C69="Transferências (Saídas)")),-J69,J69))+K68)</f>
        <v>104985</v>
      </c>
      <c r="L69" s="8">
        <f>IF(ROW()=2,IF('Fluxo de Caixa'!$B69="Saídas",-J69,J69),IF(OR('Fluxo de Caixa'!$B69="Saídas",AND('Fluxo de Caixa'!$B69="Transferências",'Fluxo de Caixa'!$C69="Transferências (Saídas)")),-J69,J69)+L68)</f>
        <v>104985</v>
      </c>
    </row>
    <row r="70" spans="1:12" ht="15.75" customHeight="1" x14ac:dyDescent="0.25">
      <c r="A70" s="3">
        <v>43832</v>
      </c>
      <c r="B70" s="4" t="s">
        <v>12</v>
      </c>
      <c r="C70" s="5" t="s">
        <v>33</v>
      </c>
      <c r="D70" s="6" t="s">
        <v>108</v>
      </c>
      <c r="E70" s="6" t="s">
        <v>38</v>
      </c>
      <c r="F70" s="6" t="s">
        <v>23</v>
      </c>
      <c r="G70" s="6" t="s">
        <v>32</v>
      </c>
      <c r="H70" s="6" t="s">
        <v>18</v>
      </c>
      <c r="I70" s="6" t="s">
        <v>19</v>
      </c>
      <c r="J70" s="7">
        <v>6572</v>
      </c>
      <c r="K70" s="7">
        <f>IF(ROW()=2,IF('Fluxo de Caixa'!$H70="Em aberto",0,IF('Fluxo de Caixa'!$B70="Saídas",-J70,J70)),IF('Fluxo de Caixa'!$H70="Em aberto",0,IF(OR('Fluxo de Caixa'!$B70="Saídas",AND('Fluxo de Caixa'!$B70="Transferências",'Fluxo de Caixa'!$C70="Transferências (Saídas)")),-J70,J70))+K69)</f>
        <v>111557</v>
      </c>
      <c r="L70" s="8">
        <f>IF(ROW()=2,IF('Fluxo de Caixa'!$B70="Saídas",-J70,J70),IF(OR('Fluxo de Caixa'!$B70="Saídas",AND('Fluxo de Caixa'!$B70="Transferências",'Fluxo de Caixa'!$C70="Transferências (Saídas)")),-J70,J70)+L69)</f>
        <v>111557</v>
      </c>
    </row>
    <row r="71" spans="1:12" ht="15.75" customHeight="1" x14ac:dyDescent="0.25">
      <c r="A71" s="3">
        <v>43835</v>
      </c>
      <c r="B71" s="4" t="s">
        <v>12</v>
      </c>
      <c r="C71" s="5" t="s">
        <v>36</v>
      </c>
      <c r="D71" s="6" t="s">
        <v>109</v>
      </c>
      <c r="E71" s="6" t="s">
        <v>15</v>
      </c>
      <c r="F71" s="6" t="s">
        <v>31</v>
      </c>
      <c r="G71" s="6" t="s">
        <v>43</v>
      </c>
      <c r="H71" s="6" t="s">
        <v>18</v>
      </c>
      <c r="I71" s="6" t="s">
        <v>40</v>
      </c>
      <c r="J71" s="7">
        <v>4640</v>
      </c>
      <c r="K71" s="7">
        <f>IF(ROW()=2,IF('Fluxo de Caixa'!$H71="Em aberto",0,IF('Fluxo de Caixa'!$B71="Saídas",-J71,J71)),IF('Fluxo de Caixa'!$H71="Em aberto",0,IF(OR('Fluxo de Caixa'!$B71="Saídas",AND('Fluxo de Caixa'!$B71="Transferências",'Fluxo de Caixa'!$C71="Transferências (Saídas)")),-J71,J71))+K70)</f>
        <v>116197</v>
      </c>
      <c r="L71" s="8">
        <f>IF(ROW()=2,IF('Fluxo de Caixa'!$B71="Saídas",-J71,J71),IF(OR('Fluxo de Caixa'!$B71="Saídas",AND('Fluxo de Caixa'!$B71="Transferências",'Fluxo de Caixa'!$C71="Transferências (Saídas)")),-J71,J71)+L70)</f>
        <v>116197</v>
      </c>
    </row>
    <row r="72" spans="1:12" ht="15.75" customHeight="1" x14ac:dyDescent="0.25">
      <c r="A72" s="3">
        <v>43836</v>
      </c>
      <c r="B72" s="4" t="s">
        <v>25</v>
      </c>
      <c r="C72" s="5" t="s">
        <v>110</v>
      </c>
      <c r="D72" s="6" t="s">
        <v>111</v>
      </c>
      <c r="E72" s="6" t="s">
        <v>38</v>
      </c>
      <c r="F72" s="6" t="s">
        <v>23</v>
      </c>
      <c r="G72" s="6" t="s">
        <v>47</v>
      </c>
      <c r="H72" s="6" t="s">
        <v>18</v>
      </c>
      <c r="I72" s="6" t="s">
        <v>40</v>
      </c>
      <c r="J72" s="7">
        <v>2673</v>
      </c>
      <c r="K72" s="7">
        <f>IF(ROW()=2,IF('Fluxo de Caixa'!$H72="Em aberto",0,IF('Fluxo de Caixa'!$B72="Saídas",-J72,J72)),IF('Fluxo de Caixa'!$H72="Em aberto",0,IF(OR('Fluxo de Caixa'!$B72="Saídas",AND('Fluxo de Caixa'!$B72="Transferências",'Fluxo de Caixa'!$C72="Transferências (Saídas)")),-J72,J72))+K71)</f>
        <v>113524</v>
      </c>
      <c r="L72" s="8">
        <f>IF(ROW()=2,IF('Fluxo de Caixa'!$B72="Saídas",-J72,J72),IF(OR('Fluxo de Caixa'!$B72="Saídas",AND('Fluxo de Caixa'!$B72="Transferências",'Fluxo de Caixa'!$C72="Transferências (Saídas)")),-J72,J72)+L71)</f>
        <v>113524</v>
      </c>
    </row>
    <row r="73" spans="1:12" ht="15.75" customHeight="1" x14ac:dyDescent="0.25">
      <c r="A73" s="3">
        <v>43849</v>
      </c>
      <c r="B73" s="4" t="s">
        <v>25</v>
      </c>
      <c r="C73" s="5" t="s">
        <v>112</v>
      </c>
      <c r="D73" s="6" t="s">
        <v>113</v>
      </c>
      <c r="E73" s="6" t="s">
        <v>38</v>
      </c>
      <c r="F73" s="6" t="s">
        <v>16</v>
      </c>
      <c r="G73" s="6" t="s">
        <v>47</v>
      </c>
      <c r="H73" s="6" t="s">
        <v>18</v>
      </c>
      <c r="I73" s="6" t="s">
        <v>24</v>
      </c>
      <c r="J73" s="7">
        <v>5716</v>
      </c>
      <c r="K73" s="7">
        <f>IF(ROW()=2,IF('Fluxo de Caixa'!$H73="Em aberto",0,IF('Fluxo de Caixa'!$B73="Saídas",-J73,J73)),IF('Fluxo de Caixa'!$H73="Em aberto",0,IF(OR('Fluxo de Caixa'!$B73="Saídas",AND('Fluxo de Caixa'!$B73="Transferências",'Fluxo de Caixa'!$C73="Transferências (Saídas)")),-J73,J73))+K72)</f>
        <v>107808</v>
      </c>
      <c r="L73" s="8">
        <f>IF(ROW()=2,IF('Fluxo de Caixa'!$B73="Saídas",-J73,J73),IF(OR('Fluxo de Caixa'!$B73="Saídas",AND('Fluxo de Caixa'!$B73="Transferências",'Fluxo de Caixa'!$C73="Transferências (Saídas)")),-J73,J73)+L72)</f>
        <v>107808</v>
      </c>
    </row>
    <row r="74" spans="1:12" ht="15.75" customHeight="1" x14ac:dyDescent="0.25">
      <c r="A74" s="3">
        <v>43853</v>
      </c>
      <c r="B74" s="4" t="s">
        <v>25</v>
      </c>
      <c r="C74" s="5" t="s">
        <v>33</v>
      </c>
      <c r="D74" s="6" t="s">
        <v>114</v>
      </c>
      <c r="E74" s="6" t="s">
        <v>30</v>
      </c>
      <c r="F74" s="6" t="s">
        <v>23</v>
      </c>
      <c r="G74" s="6" t="s">
        <v>47</v>
      </c>
      <c r="H74" s="6" t="s">
        <v>18</v>
      </c>
      <c r="I74" s="6" t="s">
        <v>24</v>
      </c>
      <c r="J74" s="7">
        <v>9940</v>
      </c>
      <c r="K74" s="7">
        <f>IF(ROW()=2,IF('Fluxo de Caixa'!$H74="Em aberto",0,IF('Fluxo de Caixa'!$B74="Saídas",-J74,J74)),IF('Fluxo de Caixa'!$H74="Em aberto",0,IF(OR('Fluxo de Caixa'!$B74="Saídas",AND('Fluxo de Caixa'!$B74="Transferências",'Fluxo de Caixa'!$C74="Transferências (Saídas)")),-J74,J74))+K73)</f>
        <v>97868</v>
      </c>
      <c r="L74" s="8">
        <f>IF(ROW()=2,IF('Fluxo de Caixa'!$B74="Saídas",-J74,J74),IF(OR('Fluxo de Caixa'!$B74="Saídas",AND('Fluxo de Caixa'!$B74="Transferências",'Fluxo de Caixa'!$C74="Transferências (Saídas)")),-J74,J74)+L73)</f>
        <v>97868</v>
      </c>
    </row>
    <row r="75" spans="1:12" ht="15.75" customHeight="1" x14ac:dyDescent="0.25">
      <c r="A75" s="3">
        <v>43868</v>
      </c>
      <c r="B75" s="4" t="s">
        <v>12</v>
      </c>
      <c r="C75" s="5" t="s">
        <v>33</v>
      </c>
      <c r="D75" s="6" t="s">
        <v>115</v>
      </c>
      <c r="E75" s="6" t="s">
        <v>30</v>
      </c>
      <c r="F75" s="6" t="s">
        <v>16</v>
      </c>
      <c r="G75" s="6" t="s">
        <v>28</v>
      </c>
      <c r="H75" s="6" t="s">
        <v>18</v>
      </c>
      <c r="I75" s="6" t="s">
        <v>19</v>
      </c>
      <c r="J75" s="7">
        <v>7344</v>
      </c>
      <c r="K75" s="7">
        <f>IF(ROW()=2,IF('Fluxo de Caixa'!$H75="Em aberto",0,IF('Fluxo de Caixa'!$B75="Saídas",-J75,J75)),IF('Fluxo de Caixa'!$H75="Em aberto",0,IF(OR('Fluxo de Caixa'!$B75="Saídas",AND('Fluxo de Caixa'!$B75="Transferências",'Fluxo de Caixa'!$C75="Transferências (Saídas)")),-J75,J75))+K74)</f>
        <v>105212</v>
      </c>
      <c r="L75" s="8">
        <f>IF(ROW()=2,IF('Fluxo de Caixa'!$B75="Saídas",-J75,J75),IF(OR('Fluxo de Caixa'!$B75="Saídas",AND('Fluxo de Caixa'!$B75="Transferências",'Fluxo de Caixa'!$C75="Transferências (Saídas)")),-J75,J75)+L74)</f>
        <v>105212</v>
      </c>
    </row>
    <row r="76" spans="1:12" ht="15.75" customHeight="1" x14ac:dyDescent="0.25">
      <c r="A76" s="3">
        <v>43874</v>
      </c>
      <c r="B76" s="4" t="s">
        <v>25</v>
      </c>
      <c r="C76" s="5" t="s">
        <v>66</v>
      </c>
      <c r="D76" s="6" t="s">
        <v>116</v>
      </c>
      <c r="E76" s="6" t="s">
        <v>38</v>
      </c>
      <c r="F76" s="6" t="s">
        <v>16</v>
      </c>
      <c r="G76" s="6" t="s">
        <v>47</v>
      </c>
      <c r="H76" s="6" t="s">
        <v>18</v>
      </c>
      <c r="I76" s="6" t="s">
        <v>19</v>
      </c>
      <c r="J76" s="7">
        <v>5101</v>
      </c>
      <c r="K76" s="7">
        <f>IF(ROW()=2,IF('Fluxo de Caixa'!$H76="Em aberto",0,IF('Fluxo de Caixa'!$B76="Saídas",-J76,J76)),IF('Fluxo de Caixa'!$H76="Em aberto",0,IF(OR('Fluxo de Caixa'!$B76="Saídas",AND('Fluxo de Caixa'!$B76="Transferências",'Fluxo de Caixa'!$C76="Transferências (Saídas)")),-J76,J76))+K75)</f>
        <v>100111</v>
      </c>
      <c r="L76" s="8">
        <f>IF(ROW()=2,IF('Fluxo de Caixa'!$B76="Saídas",-J76,J76),IF(OR('Fluxo de Caixa'!$B76="Saídas",AND('Fluxo de Caixa'!$B76="Transferências",'Fluxo de Caixa'!$C76="Transferências (Saídas)")),-J76,J76)+L75)</f>
        <v>100111</v>
      </c>
    </row>
    <row r="77" spans="1:12" ht="15.75" customHeight="1" x14ac:dyDescent="0.25">
      <c r="A77" s="3">
        <v>43875</v>
      </c>
      <c r="B77" s="4" t="s">
        <v>25</v>
      </c>
      <c r="C77" s="5" t="s">
        <v>112</v>
      </c>
      <c r="D77" s="6" t="s">
        <v>117</v>
      </c>
      <c r="E77" s="6" t="s">
        <v>35</v>
      </c>
      <c r="F77" s="6" t="s">
        <v>16</v>
      </c>
      <c r="G77" s="6" t="s">
        <v>32</v>
      </c>
      <c r="H77" s="6" t="s">
        <v>18</v>
      </c>
      <c r="I77" s="6" t="s">
        <v>40</v>
      </c>
      <c r="J77" s="7">
        <v>9581</v>
      </c>
      <c r="K77" s="7">
        <f>IF(ROW()=2,IF('Fluxo de Caixa'!$H77="Em aberto",0,IF('Fluxo de Caixa'!$B77="Saídas",-J77,J77)),IF('Fluxo de Caixa'!$H77="Em aberto",0,IF(OR('Fluxo de Caixa'!$B77="Saídas",AND('Fluxo de Caixa'!$B77="Transferências",'Fluxo de Caixa'!$C77="Transferências (Saídas)")),-J77,J77))+K76)</f>
        <v>90530</v>
      </c>
      <c r="L77" s="8">
        <f>IF(ROW()=2,IF('Fluxo de Caixa'!$B77="Saídas",-J77,J77),IF(OR('Fluxo de Caixa'!$B77="Saídas",AND('Fluxo de Caixa'!$B77="Transferências",'Fluxo de Caixa'!$C77="Transferências (Saídas)")),-J77,J77)+L76)</f>
        <v>90530</v>
      </c>
    </row>
    <row r="78" spans="1:12" ht="15.75" customHeight="1" x14ac:dyDescent="0.25">
      <c r="A78" s="3">
        <v>43876</v>
      </c>
      <c r="B78" s="4" t="s">
        <v>12</v>
      </c>
      <c r="C78" s="5" t="s">
        <v>26</v>
      </c>
      <c r="D78" s="6" t="s">
        <v>118</v>
      </c>
      <c r="E78" s="6" t="s">
        <v>38</v>
      </c>
      <c r="F78" s="6" t="s">
        <v>31</v>
      </c>
      <c r="G78" s="6" t="s">
        <v>17</v>
      </c>
      <c r="H78" s="6" t="s">
        <v>18</v>
      </c>
      <c r="I78" s="6" t="s">
        <v>19</v>
      </c>
      <c r="J78" s="7">
        <v>7878</v>
      </c>
      <c r="K78" s="7">
        <f>IF(ROW()=2,IF('Fluxo de Caixa'!$H78="Em aberto",0,IF('Fluxo de Caixa'!$B78="Saídas",-J78,J78)),IF('Fluxo de Caixa'!$H78="Em aberto",0,IF(OR('Fluxo de Caixa'!$B78="Saídas",AND('Fluxo de Caixa'!$B78="Transferências",'Fluxo de Caixa'!$C78="Transferências (Saídas)")),-J78,J78))+K77)</f>
        <v>98408</v>
      </c>
      <c r="L78" s="8">
        <f>IF(ROW()=2,IF('Fluxo de Caixa'!$B78="Saídas",-J78,J78),IF(OR('Fluxo de Caixa'!$B78="Saídas",AND('Fluxo de Caixa'!$B78="Transferências",'Fluxo de Caixa'!$C78="Transferências (Saídas)")),-J78,J78)+L77)</f>
        <v>98408</v>
      </c>
    </row>
    <row r="79" spans="1:12" ht="15.75" customHeight="1" x14ac:dyDescent="0.25">
      <c r="A79" s="3">
        <v>43889</v>
      </c>
      <c r="B79" s="4" t="s">
        <v>12</v>
      </c>
      <c r="C79" s="5" t="s">
        <v>112</v>
      </c>
      <c r="D79" s="6" t="s">
        <v>119</v>
      </c>
      <c r="E79" s="6" t="s">
        <v>38</v>
      </c>
      <c r="F79" s="6" t="s">
        <v>31</v>
      </c>
      <c r="G79" s="6" t="s">
        <v>43</v>
      </c>
      <c r="H79" s="6" t="s">
        <v>18</v>
      </c>
      <c r="I79" s="6" t="s">
        <v>40</v>
      </c>
      <c r="J79" s="7">
        <v>6749</v>
      </c>
      <c r="K79" s="7">
        <f>IF(ROW()=2,IF('Fluxo de Caixa'!$H79="Em aberto",0,IF('Fluxo de Caixa'!$B79="Saídas",-J79,J79)),IF('Fluxo de Caixa'!$H79="Em aberto",0,IF(OR('Fluxo de Caixa'!$B79="Saídas",AND('Fluxo de Caixa'!$B79="Transferências",'Fluxo de Caixa'!$C79="Transferências (Saídas)")),-J79,J79))+K78)</f>
        <v>105157</v>
      </c>
      <c r="L79" s="8">
        <f>IF(ROW()=2,IF('Fluxo de Caixa'!$B79="Saídas",-J79,J79),IF(OR('Fluxo de Caixa'!$B79="Saídas",AND('Fluxo de Caixa'!$B79="Transferências",'Fluxo de Caixa'!$C79="Transferências (Saídas)")),-J79,J79)+L78)</f>
        <v>105157</v>
      </c>
    </row>
    <row r="80" spans="1:12" ht="15.75" customHeight="1" x14ac:dyDescent="0.25">
      <c r="A80" s="3">
        <v>43890</v>
      </c>
      <c r="B80" s="4" t="s">
        <v>12</v>
      </c>
      <c r="C80" s="5" t="s">
        <v>26</v>
      </c>
      <c r="D80" s="6" t="s">
        <v>120</v>
      </c>
      <c r="E80" s="6" t="s">
        <v>30</v>
      </c>
      <c r="F80" s="6" t="s">
        <v>16</v>
      </c>
      <c r="G80" s="6" t="s">
        <v>47</v>
      </c>
      <c r="H80" s="6" t="s">
        <v>18</v>
      </c>
      <c r="I80" s="6" t="s">
        <v>40</v>
      </c>
      <c r="J80" s="7">
        <v>6709</v>
      </c>
      <c r="K80" s="7">
        <f>IF(ROW()=2,IF('Fluxo de Caixa'!$H80="Em aberto",0,IF('Fluxo de Caixa'!$B80="Saídas",-J80,J80)),IF('Fluxo de Caixa'!$H80="Em aberto",0,IF(OR('Fluxo de Caixa'!$B80="Saídas",AND('Fluxo de Caixa'!$B80="Transferências",'Fluxo de Caixa'!$C80="Transferências (Saídas)")),-J80,J80))+K79)</f>
        <v>111866</v>
      </c>
      <c r="L80" s="8">
        <f>IF(ROW()=2,IF('Fluxo de Caixa'!$B80="Saídas",-J80,J80),IF(OR('Fluxo de Caixa'!$B80="Saídas",AND('Fluxo de Caixa'!$B80="Transferências",'Fluxo de Caixa'!$C80="Transferências (Saídas)")),-J80,J80)+L79)</f>
        <v>111866</v>
      </c>
    </row>
    <row r="81" spans="1:12" ht="15.75" customHeight="1" x14ac:dyDescent="0.25">
      <c r="A81" s="3">
        <v>43897</v>
      </c>
      <c r="B81" s="4" t="s">
        <v>12</v>
      </c>
      <c r="C81" s="5" t="s">
        <v>26</v>
      </c>
      <c r="D81" s="6" t="s">
        <v>121</v>
      </c>
      <c r="E81" s="6" t="s">
        <v>22</v>
      </c>
      <c r="F81" s="6" t="s">
        <v>23</v>
      </c>
      <c r="G81" s="6" t="s">
        <v>28</v>
      </c>
      <c r="H81" s="6" t="s">
        <v>18</v>
      </c>
      <c r="I81" s="6" t="s">
        <v>24</v>
      </c>
      <c r="J81" s="7">
        <v>5625</v>
      </c>
      <c r="K81" s="7">
        <f>IF(ROW()=2,IF('Fluxo de Caixa'!$H81="Em aberto",0,IF('Fluxo de Caixa'!$B81="Saídas",-J81,J81)),IF('Fluxo de Caixa'!$H81="Em aberto",0,IF(OR('Fluxo de Caixa'!$B81="Saídas",AND('Fluxo de Caixa'!$B81="Transferências",'Fluxo de Caixa'!$C81="Transferências (Saídas)")),-J81,J81))+K80)</f>
        <v>117491</v>
      </c>
      <c r="L81" s="8">
        <f>IF(ROW()=2,IF('Fluxo de Caixa'!$B81="Saídas",-J81,J81),IF(OR('Fluxo de Caixa'!$B81="Saídas",AND('Fluxo de Caixa'!$B81="Transferências",'Fluxo de Caixa'!$C81="Transferências (Saídas)")),-J81,J81)+L80)</f>
        <v>117491</v>
      </c>
    </row>
    <row r="82" spans="1:12" ht="15.75" customHeight="1" x14ac:dyDescent="0.25">
      <c r="A82" s="3">
        <v>43900</v>
      </c>
      <c r="B82" s="4" t="s">
        <v>12</v>
      </c>
      <c r="C82" s="5" t="s">
        <v>20</v>
      </c>
      <c r="D82" s="6" t="s">
        <v>122</v>
      </c>
      <c r="E82" s="6" t="s">
        <v>38</v>
      </c>
      <c r="F82" s="6" t="s">
        <v>31</v>
      </c>
      <c r="G82" s="6" t="s">
        <v>17</v>
      </c>
      <c r="H82" s="6" t="s">
        <v>18</v>
      </c>
      <c r="I82" s="6" t="s">
        <v>40</v>
      </c>
      <c r="J82" s="7">
        <v>4916</v>
      </c>
      <c r="K82" s="7">
        <f>IF(ROW()=2,IF('Fluxo de Caixa'!$H82="Em aberto",0,IF('Fluxo de Caixa'!$B82="Saídas",-J82,J82)),IF('Fluxo de Caixa'!$H82="Em aberto",0,IF(OR('Fluxo de Caixa'!$B82="Saídas",AND('Fluxo de Caixa'!$B82="Transferências",'Fluxo de Caixa'!$C82="Transferências (Saídas)")),-J82,J82))+K81)</f>
        <v>122407</v>
      </c>
      <c r="L82" s="8">
        <f>IF(ROW()=2,IF('Fluxo de Caixa'!$B82="Saídas",-J82,J82),IF(OR('Fluxo de Caixa'!$B82="Saídas",AND('Fluxo de Caixa'!$B82="Transferências",'Fluxo de Caixa'!$C82="Transferências (Saídas)")),-J82,J82)+L81)</f>
        <v>122407</v>
      </c>
    </row>
    <row r="83" spans="1:12" ht="15.75" customHeight="1" x14ac:dyDescent="0.25">
      <c r="A83" s="3">
        <v>43908</v>
      </c>
      <c r="B83" s="4" t="s">
        <v>25</v>
      </c>
      <c r="C83" s="5" t="s">
        <v>36</v>
      </c>
      <c r="D83" s="6" t="s">
        <v>123</v>
      </c>
      <c r="E83" s="6" t="s">
        <v>22</v>
      </c>
      <c r="F83" s="6" t="s">
        <v>31</v>
      </c>
      <c r="G83" s="6" t="s">
        <v>43</v>
      </c>
      <c r="H83" s="6" t="s">
        <v>18</v>
      </c>
      <c r="I83" s="6" t="s">
        <v>40</v>
      </c>
      <c r="J83" s="7">
        <v>5300</v>
      </c>
      <c r="K83" s="7">
        <f>IF(ROW()=2,IF('Fluxo de Caixa'!$H83="Em aberto",0,IF('Fluxo de Caixa'!$B83="Saídas",-J83,J83)),IF('Fluxo de Caixa'!$H83="Em aberto",0,IF(OR('Fluxo de Caixa'!$B83="Saídas",AND('Fluxo de Caixa'!$B83="Transferências",'Fluxo de Caixa'!$C83="Transferências (Saídas)")),-J83,J83))+K82)</f>
        <v>117107</v>
      </c>
      <c r="L83" s="8">
        <f>IF(ROW()=2,IF('Fluxo de Caixa'!$B83="Saídas",-J83,J83),IF(OR('Fluxo de Caixa'!$B83="Saídas",AND('Fluxo de Caixa'!$B83="Transferências",'Fluxo de Caixa'!$C83="Transferências (Saídas)")),-J83,J83)+L82)</f>
        <v>117107</v>
      </c>
    </row>
    <row r="84" spans="1:12" ht="15.75" customHeight="1" x14ac:dyDescent="0.25">
      <c r="A84" s="3">
        <v>43917</v>
      </c>
      <c r="B84" s="4" t="s">
        <v>12</v>
      </c>
      <c r="C84" s="5" t="s">
        <v>26</v>
      </c>
      <c r="D84" s="6" t="s">
        <v>124</v>
      </c>
      <c r="E84" s="6" t="s">
        <v>38</v>
      </c>
      <c r="F84" s="6" t="s">
        <v>31</v>
      </c>
      <c r="G84" s="6" t="s">
        <v>47</v>
      </c>
      <c r="H84" s="6" t="s">
        <v>18</v>
      </c>
      <c r="I84" s="6" t="s">
        <v>24</v>
      </c>
      <c r="J84" s="7">
        <v>7659</v>
      </c>
      <c r="K84" s="7">
        <f>IF(ROW()=2,IF('Fluxo de Caixa'!$H84="Em aberto",0,IF('Fluxo de Caixa'!$B84="Saídas",-J84,J84)),IF('Fluxo de Caixa'!$H84="Em aberto",0,IF(OR('Fluxo de Caixa'!$B84="Saídas",AND('Fluxo de Caixa'!$B84="Transferências",'Fluxo de Caixa'!$C84="Transferências (Saídas)")),-J84,J84))+K83)</f>
        <v>124766</v>
      </c>
      <c r="L84" s="8">
        <f>IF(ROW()=2,IF('Fluxo de Caixa'!$B84="Saídas",-J84,J84),IF(OR('Fluxo de Caixa'!$B84="Saídas",AND('Fluxo de Caixa'!$B84="Transferências",'Fluxo de Caixa'!$C84="Transferências (Saídas)")),-J84,J84)+L83)</f>
        <v>124766</v>
      </c>
    </row>
    <row r="85" spans="1:12" ht="15.75" customHeight="1" x14ac:dyDescent="0.25">
      <c r="A85" s="3">
        <v>43919</v>
      </c>
      <c r="B85" s="4" t="s">
        <v>25</v>
      </c>
      <c r="C85" s="5" t="s">
        <v>106</v>
      </c>
      <c r="D85" s="6" t="s">
        <v>125</v>
      </c>
      <c r="E85" s="6" t="s">
        <v>38</v>
      </c>
      <c r="F85" s="6" t="s">
        <v>23</v>
      </c>
      <c r="G85" s="6" t="s">
        <v>32</v>
      </c>
      <c r="H85" s="6" t="s">
        <v>18</v>
      </c>
      <c r="I85" s="6" t="s">
        <v>19</v>
      </c>
      <c r="J85" s="7">
        <v>6600</v>
      </c>
      <c r="K85" s="7">
        <f>IF(ROW()=2,IF('Fluxo de Caixa'!$H85="Em aberto",0,IF('Fluxo de Caixa'!$B85="Saídas",-J85,J85)),IF('Fluxo de Caixa'!$H85="Em aberto",0,IF(OR('Fluxo de Caixa'!$B85="Saídas",AND('Fluxo de Caixa'!$B85="Transferências",'Fluxo de Caixa'!$C85="Transferências (Saídas)")),-J85,J85))+K84)</f>
        <v>118166</v>
      </c>
      <c r="L85" s="8">
        <f>IF(ROW()=2,IF('Fluxo de Caixa'!$B85="Saídas",-J85,J85),IF(OR('Fluxo de Caixa'!$B85="Saídas",AND('Fluxo de Caixa'!$B85="Transferências",'Fluxo de Caixa'!$C85="Transferências (Saídas)")),-J85,J85)+L84)</f>
        <v>118166</v>
      </c>
    </row>
    <row r="86" spans="1:12" ht="15.75" customHeight="1" x14ac:dyDescent="0.25">
      <c r="A86" s="3">
        <v>43928</v>
      </c>
      <c r="B86" s="4" t="s">
        <v>25</v>
      </c>
      <c r="C86" s="5" t="s">
        <v>36</v>
      </c>
      <c r="D86" s="6" t="s">
        <v>126</v>
      </c>
      <c r="E86" s="6" t="s">
        <v>30</v>
      </c>
      <c r="F86" s="6" t="s">
        <v>23</v>
      </c>
      <c r="G86" s="6" t="s">
        <v>32</v>
      </c>
      <c r="H86" s="6" t="s">
        <v>18</v>
      </c>
      <c r="I86" s="6" t="s">
        <v>40</v>
      </c>
      <c r="J86" s="7">
        <v>9464</v>
      </c>
      <c r="K86" s="7">
        <f>IF(ROW()=2,IF('Fluxo de Caixa'!$H86="Em aberto",0,IF('Fluxo de Caixa'!$B86="Saídas",-J86,J86)),IF('Fluxo de Caixa'!$H86="Em aberto",0,IF(OR('Fluxo de Caixa'!$B86="Saídas",AND('Fluxo de Caixa'!$B86="Transferências",'Fluxo de Caixa'!$C86="Transferências (Saídas)")),-J86,J86))+K85)</f>
        <v>108702</v>
      </c>
      <c r="L86" s="8">
        <f>IF(ROW()=2,IF('Fluxo de Caixa'!$B86="Saídas",-J86,J86),IF(OR('Fluxo de Caixa'!$B86="Saídas",AND('Fluxo de Caixa'!$B86="Transferências",'Fluxo de Caixa'!$C86="Transferências (Saídas)")),-J86,J86)+L85)</f>
        <v>108702</v>
      </c>
    </row>
    <row r="87" spans="1:12" ht="15.75" customHeight="1" x14ac:dyDescent="0.25">
      <c r="A87" s="3">
        <v>43934</v>
      </c>
      <c r="B87" s="4" t="s">
        <v>12</v>
      </c>
      <c r="C87" s="5" t="s">
        <v>33</v>
      </c>
      <c r="D87" s="6" t="s">
        <v>127</v>
      </c>
      <c r="E87" s="6" t="s">
        <v>35</v>
      </c>
      <c r="F87" s="6" t="s">
        <v>16</v>
      </c>
      <c r="G87" s="6" t="s">
        <v>17</v>
      </c>
      <c r="H87" s="6" t="s">
        <v>18</v>
      </c>
      <c r="I87" s="6" t="s">
        <v>24</v>
      </c>
      <c r="J87" s="7">
        <v>9614</v>
      </c>
      <c r="K87" s="7">
        <f>IF(ROW()=2,IF('Fluxo de Caixa'!$H87="Em aberto",0,IF('Fluxo de Caixa'!$B87="Saídas",-J87,J87)),IF('Fluxo de Caixa'!$H87="Em aberto",0,IF(OR('Fluxo de Caixa'!$B87="Saídas",AND('Fluxo de Caixa'!$B87="Transferências",'Fluxo de Caixa'!$C87="Transferências (Saídas)")),-J87,J87))+K86)</f>
        <v>118316</v>
      </c>
      <c r="L87" s="8">
        <f>IF(ROW()=2,IF('Fluxo de Caixa'!$B87="Saídas",-J87,J87),IF(OR('Fluxo de Caixa'!$B87="Saídas",AND('Fluxo de Caixa'!$B87="Transferências",'Fluxo de Caixa'!$C87="Transferências (Saídas)")),-J87,J87)+L86)</f>
        <v>118316</v>
      </c>
    </row>
    <row r="88" spans="1:12" ht="15.75" customHeight="1" x14ac:dyDescent="0.25">
      <c r="A88" s="3">
        <v>43935</v>
      </c>
      <c r="B88" s="4" t="s">
        <v>12</v>
      </c>
      <c r="C88" s="5" t="s">
        <v>26</v>
      </c>
      <c r="D88" s="6" t="s">
        <v>128</v>
      </c>
      <c r="E88" s="6" t="s">
        <v>38</v>
      </c>
      <c r="F88" s="6" t="s">
        <v>23</v>
      </c>
      <c r="G88" s="6" t="s">
        <v>28</v>
      </c>
      <c r="H88" s="6" t="s">
        <v>18</v>
      </c>
      <c r="I88" s="6" t="s">
        <v>24</v>
      </c>
      <c r="J88" s="7">
        <v>6572</v>
      </c>
      <c r="K88" s="7">
        <f>IF(ROW()=2,IF('Fluxo de Caixa'!$H88="Em aberto",0,IF('Fluxo de Caixa'!$B88="Saídas",-J88,J88)),IF('Fluxo de Caixa'!$H88="Em aberto",0,IF(OR('Fluxo de Caixa'!$B88="Saídas",AND('Fluxo de Caixa'!$B88="Transferências",'Fluxo de Caixa'!$C88="Transferências (Saídas)")),-J88,J88))+K87)</f>
        <v>124888</v>
      </c>
      <c r="L88" s="8">
        <f>IF(ROW()=2,IF('Fluxo de Caixa'!$B88="Saídas",-J88,J88),IF(OR('Fluxo de Caixa'!$B88="Saídas",AND('Fluxo de Caixa'!$B88="Transferências",'Fluxo de Caixa'!$C88="Transferências (Saídas)")),-J88,J88)+L87)</f>
        <v>124888</v>
      </c>
    </row>
    <row r="89" spans="1:12" ht="15.75" customHeight="1" x14ac:dyDescent="0.25">
      <c r="A89" s="3">
        <v>43946</v>
      </c>
      <c r="B89" s="4" t="s">
        <v>12</v>
      </c>
      <c r="C89" s="5" t="s">
        <v>110</v>
      </c>
      <c r="D89" s="6" t="s">
        <v>129</v>
      </c>
      <c r="E89" s="6" t="s">
        <v>35</v>
      </c>
      <c r="F89" s="6" t="s">
        <v>23</v>
      </c>
      <c r="G89" s="6" t="s">
        <v>17</v>
      </c>
      <c r="H89" s="6" t="s">
        <v>18</v>
      </c>
      <c r="I89" s="6" t="s">
        <v>19</v>
      </c>
      <c r="J89" s="7">
        <v>4305</v>
      </c>
      <c r="K89" s="7">
        <f>IF(ROW()=2,IF('Fluxo de Caixa'!$H89="Em aberto",0,IF('Fluxo de Caixa'!$B89="Saídas",-J89,J89)),IF('Fluxo de Caixa'!$H89="Em aberto",0,IF(OR('Fluxo de Caixa'!$B89="Saídas",AND('Fluxo de Caixa'!$B89="Transferências",'Fluxo de Caixa'!$C89="Transferências (Saídas)")),-J89,J89))+K88)</f>
        <v>129193</v>
      </c>
      <c r="L89" s="8">
        <f>IF(ROW()=2,IF('Fluxo de Caixa'!$B89="Saídas",-J89,J89),IF(OR('Fluxo de Caixa'!$B89="Saídas",AND('Fluxo de Caixa'!$B89="Transferências",'Fluxo de Caixa'!$C89="Transferências (Saídas)")),-J89,J89)+L88)</f>
        <v>129193</v>
      </c>
    </row>
    <row r="90" spans="1:12" ht="15.75" customHeight="1" x14ac:dyDescent="0.25">
      <c r="A90" s="3">
        <v>43955</v>
      </c>
      <c r="B90" s="4" t="s">
        <v>12</v>
      </c>
      <c r="C90" s="5" t="s">
        <v>26</v>
      </c>
      <c r="D90" s="6" t="s">
        <v>130</v>
      </c>
      <c r="E90" s="6" t="s">
        <v>38</v>
      </c>
      <c r="F90" s="6" t="s">
        <v>31</v>
      </c>
      <c r="G90" s="6" t="s">
        <v>28</v>
      </c>
      <c r="H90" s="6" t="s">
        <v>18</v>
      </c>
      <c r="I90" s="6" t="s">
        <v>19</v>
      </c>
      <c r="J90" s="7">
        <v>2296</v>
      </c>
      <c r="K90" s="7">
        <f>IF(ROW()=2,IF('Fluxo de Caixa'!$H90="Em aberto",0,IF('Fluxo de Caixa'!$B90="Saídas",-J90,J90)),IF('Fluxo de Caixa'!$H90="Em aberto",0,IF(OR('Fluxo de Caixa'!$B90="Saídas",AND('Fluxo de Caixa'!$B90="Transferências",'Fluxo de Caixa'!$C90="Transferências (Saídas)")),-J90,J90))+K89)</f>
        <v>131489</v>
      </c>
      <c r="L90" s="8">
        <f>IF(ROW()=2,IF('Fluxo de Caixa'!$B90="Saídas",-J90,J90),IF(OR('Fluxo de Caixa'!$B90="Saídas",AND('Fluxo de Caixa'!$B90="Transferências",'Fluxo de Caixa'!$C90="Transferências (Saídas)")),-J90,J90)+L89)</f>
        <v>131489</v>
      </c>
    </row>
    <row r="91" spans="1:12" ht="15.75" customHeight="1" x14ac:dyDescent="0.25">
      <c r="A91" s="3">
        <v>43955</v>
      </c>
      <c r="B91" s="4" t="s">
        <v>25</v>
      </c>
      <c r="C91" s="5" t="s">
        <v>20</v>
      </c>
      <c r="D91" s="6" t="s">
        <v>131</v>
      </c>
      <c r="E91" s="6" t="s">
        <v>30</v>
      </c>
      <c r="F91" s="6" t="s">
        <v>23</v>
      </c>
      <c r="G91" s="6" t="s">
        <v>32</v>
      </c>
      <c r="H91" s="6" t="s">
        <v>18</v>
      </c>
      <c r="I91" s="6" t="s">
        <v>19</v>
      </c>
      <c r="J91" s="7">
        <v>4173</v>
      </c>
      <c r="K91" s="7">
        <f>IF(ROW()=2,IF('Fluxo de Caixa'!$H91="Em aberto",0,IF('Fluxo de Caixa'!$B91="Saídas",-J91,J91)),IF('Fluxo de Caixa'!$H91="Em aberto",0,IF(OR('Fluxo de Caixa'!$B91="Saídas",AND('Fluxo de Caixa'!$B91="Transferências",'Fluxo de Caixa'!$C91="Transferências (Saídas)")),-J91,J91))+K90)</f>
        <v>127316</v>
      </c>
      <c r="L91" s="8">
        <f>IF(ROW()=2,IF('Fluxo de Caixa'!$B91="Saídas",-J91,J91),IF(OR('Fluxo de Caixa'!$B91="Saídas",AND('Fluxo de Caixa'!$B91="Transferências",'Fluxo de Caixa'!$C91="Transferências (Saídas)")),-J91,J91)+L90)</f>
        <v>127316</v>
      </c>
    </row>
    <row r="92" spans="1:12" ht="15.75" customHeight="1" x14ac:dyDescent="0.25">
      <c r="A92" s="3">
        <v>43960</v>
      </c>
      <c r="B92" s="4" t="s">
        <v>25</v>
      </c>
      <c r="C92" s="5" t="s">
        <v>33</v>
      </c>
      <c r="D92" s="6" t="s">
        <v>132</v>
      </c>
      <c r="E92" s="6" t="s">
        <v>15</v>
      </c>
      <c r="F92" s="6" t="s">
        <v>31</v>
      </c>
      <c r="G92" s="6" t="s">
        <v>28</v>
      </c>
      <c r="H92" s="6" t="s">
        <v>18</v>
      </c>
      <c r="I92" s="6" t="s">
        <v>40</v>
      </c>
      <c r="J92" s="7">
        <v>9772</v>
      </c>
      <c r="K92" s="7">
        <f>IF(ROW()=2,IF('Fluxo de Caixa'!$H92="Em aberto",0,IF('Fluxo de Caixa'!$B92="Saídas",-J92,J92)),IF('Fluxo de Caixa'!$H92="Em aberto",0,IF(OR('Fluxo de Caixa'!$B92="Saídas",AND('Fluxo de Caixa'!$B92="Transferências",'Fluxo de Caixa'!$C92="Transferências (Saídas)")),-J92,J92))+K91)</f>
        <v>117544</v>
      </c>
      <c r="L92" s="8">
        <f>IF(ROW()=2,IF('Fluxo de Caixa'!$B92="Saídas",-J92,J92),IF(OR('Fluxo de Caixa'!$B92="Saídas",AND('Fluxo de Caixa'!$B92="Transferências",'Fluxo de Caixa'!$C92="Transferências (Saídas)")),-J92,J92)+L91)</f>
        <v>117544</v>
      </c>
    </row>
    <row r="93" spans="1:12" ht="15.75" customHeight="1" x14ac:dyDescent="0.25">
      <c r="A93" s="3">
        <v>43961</v>
      </c>
      <c r="B93" s="4" t="s">
        <v>12</v>
      </c>
      <c r="C93" s="5" t="s">
        <v>26</v>
      </c>
      <c r="D93" s="6" t="s">
        <v>133</v>
      </c>
      <c r="E93" s="6" t="s">
        <v>38</v>
      </c>
      <c r="F93" s="6" t="s">
        <v>31</v>
      </c>
      <c r="G93" s="6" t="s">
        <v>28</v>
      </c>
      <c r="H93" s="6" t="s">
        <v>18</v>
      </c>
      <c r="I93" s="6" t="s">
        <v>24</v>
      </c>
      <c r="J93" s="7">
        <v>6978</v>
      </c>
      <c r="K93" s="7">
        <f>IF(ROW()=2,IF('Fluxo de Caixa'!$H93="Em aberto",0,IF('Fluxo de Caixa'!$B93="Saídas",-J93,J93)),IF('Fluxo de Caixa'!$H93="Em aberto",0,IF(OR('Fluxo de Caixa'!$B93="Saídas",AND('Fluxo de Caixa'!$B93="Transferências",'Fluxo de Caixa'!$C93="Transferências (Saídas)")),-J93,J93))+K92)</f>
        <v>124522</v>
      </c>
      <c r="L93" s="8">
        <f>IF(ROW()=2,IF('Fluxo de Caixa'!$B93="Saídas",-J93,J93),IF(OR('Fluxo de Caixa'!$B93="Saídas",AND('Fluxo de Caixa'!$B93="Transferências",'Fluxo de Caixa'!$C93="Transferências (Saídas)")),-J93,J93)+L92)</f>
        <v>124522</v>
      </c>
    </row>
    <row r="94" spans="1:12" ht="15.75" customHeight="1" x14ac:dyDescent="0.25">
      <c r="A94" s="3">
        <v>43965</v>
      </c>
      <c r="B94" s="4" t="s">
        <v>12</v>
      </c>
      <c r="C94" s="5" t="s">
        <v>36</v>
      </c>
      <c r="D94" s="6" t="s">
        <v>134</v>
      </c>
      <c r="E94" s="6" t="s">
        <v>35</v>
      </c>
      <c r="F94" s="6" t="s">
        <v>31</v>
      </c>
      <c r="G94" s="6" t="s">
        <v>47</v>
      </c>
      <c r="H94" s="6" t="s">
        <v>18</v>
      </c>
      <c r="I94" s="6" t="s">
        <v>19</v>
      </c>
      <c r="J94" s="7">
        <v>3428</v>
      </c>
      <c r="K94" s="7">
        <f>IF(ROW()=2,IF('Fluxo de Caixa'!$H94="Em aberto",0,IF('Fluxo de Caixa'!$B94="Saídas",-J94,J94)),IF('Fluxo de Caixa'!$H94="Em aberto",0,IF(OR('Fluxo de Caixa'!$B94="Saídas",AND('Fluxo de Caixa'!$B94="Transferências",'Fluxo de Caixa'!$C94="Transferências (Saídas)")),-J94,J94))+K93)</f>
        <v>127950</v>
      </c>
      <c r="L94" s="8">
        <f>IF(ROW()=2,IF('Fluxo de Caixa'!$B94="Saídas",-J94,J94),IF(OR('Fluxo de Caixa'!$B94="Saídas",AND('Fluxo de Caixa'!$B94="Transferências",'Fluxo de Caixa'!$C94="Transferências (Saídas)")),-J94,J94)+L93)</f>
        <v>127950</v>
      </c>
    </row>
    <row r="95" spans="1:12" ht="15.75" customHeight="1" x14ac:dyDescent="0.25">
      <c r="A95" s="3">
        <v>43979</v>
      </c>
      <c r="B95" s="4" t="s">
        <v>12</v>
      </c>
      <c r="C95" s="5" t="s">
        <v>36</v>
      </c>
      <c r="D95" s="6" t="s">
        <v>135</v>
      </c>
      <c r="E95" s="6" t="s">
        <v>30</v>
      </c>
      <c r="F95" s="6" t="s">
        <v>31</v>
      </c>
      <c r="G95" s="6" t="s">
        <v>28</v>
      </c>
      <c r="H95" s="6" t="s">
        <v>18</v>
      </c>
      <c r="I95" s="6" t="s">
        <v>24</v>
      </c>
      <c r="J95" s="7">
        <v>455</v>
      </c>
      <c r="K95" s="7">
        <f>IF(ROW()=2,IF('Fluxo de Caixa'!$H95="Em aberto",0,IF('Fluxo de Caixa'!$B95="Saídas",-J95,J95)),IF('Fluxo de Caixa'!$H95="Em aberto",0,IF(OR('Fluxo de Caixa'!$B95="Saídas",AND('Fluxo de Caixa'!$B95="Transferências",'Fluxo de Caixa'!$C95="Transferências (Saídas)")),-J95,J95))+K94)</f>
        <v>128405</v>
      </c>
      <c r="L95" s="8">
        <f>IF(ROW()=2,IF('Fluxo de Caixa'!$B95="Saídas",-J95,J95),IF(OR('Fluxo de Caixa'!$B95="Saídas",AND('Fluxo de Caixa'!$B95="Transferências",'Fluxo de Caixa'!$C95="Transferências (Saídas)")),-J95,J95)+L94)</f>
        <v>128405</v>
      </c>
    </row>
    <row r="96" spans="1:12" ht="15.75" customHeight="1" x14ac:dyDescent="0.25">
      <c r="A96" s="3">
        <v>43979</v>
      </c>
      <c r="B96" s="4" t="s">
        <v>12</v>
      </c>
      <c r="C96" s="5" t="s">
        <v>26</v>
      </c>
      <c r="D96" s="6" t="s">
        <v>136</v>
      </c>
      <c r="E96" s="6" t="s">
        <v>35</v>
      </c>
      <c r="F96" s="6" t="s">
        <v>31</v>
      </c>
      <c r="G96" s="6" t="s">
        <v>17</v>
      </c>
      <c r="H96" s="6" t="s">
        <v>18</v>
      </c>
      <c r="I96" s="6" t="s">
        <v>19</v>
      </c>
      <c r="J96" s="7">
        <v>3702</v>
      </c>
      <c r="K96" s="7">
        <f>IF(ROW()=2,IF('Fluxo de Caixa'!$H96="Em aberto",0,IF('Fluxo de Caixa'!$B96="Saídas",-J96,J96)),IF('Fluxo de Caixa'!$H96="Em aberto",0,IF(OR('Fluxo de Caixa'!$B96="Saídas",AND('Fluxo de Caixa'!$B96="Transferências",'Fluxo de Caixa'!$C96="Transferências (Saídas)")),-J96,J96))+K95)</f>
        <v>132107</v>
      </c>
      <c r="L96" s="8">
        <f>IF(ROW()=2,IF('Fluxo de Caixa'!$B96="Saídas",-J96,J96),IF(OR('Fluxo de Caixa'!$B96="Saídas",AND('Fluxo de Caixa'!$B96="Transferências",'Fluxo de Caixa'!$C96="Transferências (Saídas)")),-J96,J96)+L95)</f>
        <v>132107</v>
      </c>
    </row>
    <row r="97" spans="1:12" ht="15.75" customHeight="1" x14ac:dyDescent="0.25">
      <c r="A97" s="3">
        <v>43987</v>
      </c>
      <c r="B97" s="4" t="s">
        <v>12</v>
      </c>
      <c r="C97" s="5" t="s">
        <v>20</v>
      </c>
      <c r="D97" s="6" t="s">
        <v>137</v>
      </c>
      <c r="E97" s="6" t="s">
        <v>15</v>
      </c>
      <c r="F97" s="6" t="s">
        <v>23</v>
      </c>
      <c r="G97" s="6" t="s">
        <v>47</v>
      </c>
      <c r="H97" s="6" t="s">
        <v>18</v>
      </c>
      <c r="I97" s="6" t="s">
        <v>40</v>
      </c>
      <c r="J97" s="7">
        <v>913</v>
      </c>
      <c r="K97" s="7">
        <f>IF(ROW()=2,IF('Fluxo de Caixa'!$H97="Em aberto",0,IF('Fluxo de Caixa'!$B97="Saídas",-J97,J97)),IF('Fluxo de Caixa'!$H97="Em aberto",0,IF(OR('Fluxo de Caixa'!$B97="Saídas",AND('Fluxo de Caixa'!$B97="Transferências",'Fluxo de Caixa'!$C97="Transferências (Saídas)")),-J97,J97))+K96)</f>
        <v>133020</v>
      </c>
      <c r="L97" s="8">
        <f>IF(ROW()=2,IF('Fluxo de Caixa'!$B97="Saídas",-J97,J97),IF(OR('Fluxo de Caixa'!$B97="Saídas",AND('Fluxo de Caixa'!$B97="Transferências",'Fluxo de Caixa'!$C97="Transferências (Saídas)")),-J97,J97)+L96)</f>
        <v>133020</v>
      </c>
    </row>
    <row r="98" spans="1:12" ht="15.75" customHeight="1" x14ac:dyDescent="0.25">
      <c r="A98" s="3">
        <v>43988</v>
      </c>
      <c r="B98" s="4" t="s">
        <v>12</v>
      </c>
      <c r="C98" s="5" t="s">
        <v>45</v>
      </c>
      <c r="D98" s="6" t="s">
        <v>138</v>
      </c>
      <c r="E98" s="6" t="s">
        <v>30</v>
      </c>
      <c r="F98" s="6" t="s">
        <v>16</v>
      </c>
      <c r="G98" s="6" t="s">
        <v>47</v>
      </c>
      <c r="H98" s="6" t="s">
        <v>18</v>
      </c>
      <c r="I98" s="6" t="s">
        <v>40</v>
      </c>
      <c r="J98" s="7">
        <v>3263</v>
      </c>
      <c r="K98" s="7">
        <f>IF(ROW()=2,IF('Fluxo de Caixa'!$H98="Em aberto",0,IF('Fluxo de Caixa'!$B98="Saídas",-J98,J98)),IF('Fluxo de Caixa'!$H98="Em aberto",0,IF(OR('Fluxo de Caixa'!$B98="Saídas",AND('Fluxo de Caixa'!$B98="Transferências",'Fluxo de Caixa'!$C98="Transferências (Saídas)")),-J98,J98))+K97)</f>
        <v>136283</v>
      </c>
      <c r="L98" s="8">
        <f>IF(ROW()=2,IF('Fluxo de Caixa'!$B98="Saídas",-J98,J98),IF(OR('Fluxo de Caixa'!$B98="Saídas",AND('Fluxo de Caixa'!$B98="Transferências",'Fluxo de Caixa'!$C98="Transferências (Saídas)")),-J98,J98)+L97)</f>
        <v>136283</v>
      </c>
    </row>
    <row r="99" spans="1:12" ht="15.75" customHeight="1" x14ac:dyDescent="0.25">
      <c r="A99" s="3">
        <v>43990</v>
      </c>
      <c r="B99" s="4" t="s">
        <v>12</v>
      </c>
      <c r="C99" s="5" t="s">
        <v>45</v>
      </c>
      <c r="D99" s="6" t="s">
        <v>139</v>
      </c>
      <c r="E99" s="6" t="s">
        <v>38</v>
      </c>
      <c r="F99" s="6" t="s">
        <v>23</v>
      </c>
      <c r="G99" s="6" t="s">
        <v>17</v>
      </c>
      <c r="H99" s="6" t="s">
        <v>18</v>
      </c>
      <c r="I99" s="6" t="s">
        <v>40</v>
      </c>
      <c r="J99" s="7">
        <v>4753</v>
      </c>
      <c r="K99" s="7">
        <f>IF(ROW()=2,IF('Fluxo de Caixa'!$H99="Em aberto",0,IF('Fluxo de Caixa'!$B99="Saídas",-J99,J99)),IF('Fluxo de Caixa'!$H99="Em aberto",0,IF(OR('Fluxo de Caixa'!$B99="Saídas",AND('Fluxo de Caixa'!$B99="Transferências",'Fluxo de Caixa'!$C99="Transferências (Saídas)")),-J99,J99))+K98)</f>
        <v>141036</v>
      </c>
      <c r="L99" s="8">
        <f>IF(ROW()=2,IF('Fluxo de Caixa'!$B99="Saídas",-J99,J99),IF(OR('Fluxo de Caixa'!$B99="Saídas",AND('Fluxo de Caixa'!$B99="Transferências",'Fluxo de Caixa'!$C99="Transferências (Saídas)")),-J99,J99)+L98)</f>
        <v>141036</v>
      </c>
    </row>
    <row r="100" spans="1:12" ht="15.75" customHeight="1" x14ac:dyDescent="0.25">
      <c r="A100" s="3">
        <v>43996</v>
      </c>
      <c r="B100" s="4" t="s">
        <v>12</v>
      </c>
      <c r="C100" s="5" t="s">
        <v>26</v>
      </c>
      <c r="D100" s="6" t="s">
        <v>140</v>
      </c>
      <c r="E100" s="6" t="s">
        <v>15</v>
      </c>
      <c r="F100" s="6" t="s">
        <v>23</v>
      </c>
      <c r="G100" s="6" t="s">
        <v>47</v>
      </c>
      <c r="H100" s="6" t="s">
        <v>18</v>
      </c>
      <c r="I100" s="6" t="s">
        <v>24</v>
      </c>
      <c r="J100" s="7">
        <v>7186</v>
      </c>
      <c r="K100" s="7">
        <f>IF(ROW()=2,IF('Fluxo de Caixa'!$H100="Em aberto",0,IF('Fluxo de Caixa'!$B100="Saídas",-J100,J100)),IF('Fluxo de Caixa'!$H100="Em aberto",0,IF(OR('Fluxo de Caixa'!$B100="Saídas",AND('Fluxo de Caixa'!$B100="Transferências",'Fluxo de Caixa'!$C100="Transferências (Saídas)")),-J100,J100))+K99)</f>
        <v>148222</v>
      </c>
      <c r="L100" s="8">
        <f>IF(ROW()=2,IF('Fluxo de Caixa'!$B100="Saídas",-J100,J100),IF(OR('Fluxo de Caixa'!$B100="Saídas",AND('Fluxo de Caixa'!$B100="Transferências",'Fluxo de Caixa'!$C100="Transferências (Saídas)")),-J100,J100)+L99)</f>
        <v>148222</v>
      </c>
    </row>
    <row r="101" spans="1:12" ht="15.75" customHeight="1" x14ac:dyDescent="0.25">
      <c r="A101" s="3">
        <v>43996</v>
      </c>
      <c r="B101" s="4" t="s">
        <v>25</v>
      </c>
      <c r="C101" s="5" t="s">
        <v>33</v>
      </c>
      <c r="D101" s="6" t="s">
        <v>141</v>
      </c>
      <c r="E101" s="6" t="s">
        <v>30</v>
      </c>
      <c r="F101" s="6" t="s">
        <v>23</v>
      </c>
      <c r="G101" s="6" t="s">
        <v>28</v>
      </c>
      <c r="H101" s="6" t="s">
        <v>18</v>
      </c>
      <c r="I101" s="6" t="s">
        <v>40</v>
      </c>
      <c r="J101" s="7">
        <v>873</v>
      </c>
      <c r="K101" s="7">
        <f>IF(ROW()=2,IF('Fluxo de Caixa'!$H101="Em aberto",0,IF('Fluxo de Caixa'!$B101="Saídas",-J101,J101)),IF('Fluxo de Caixa'!$H101="Em aberto",0,IF(OR('Fluxo de Caixa'!$B101="Saídas",AND('Fluxo de Caixa'!$B101="Transferências",'Fluxo de Caixa'!$C101="Transferências (Saídas)")),-J101,J101))+K100)</f>
        <v>147349</v>
      </c>
      <c r="L101" s="8">
        <f>IF(ROW()=2,IF('Fluxo de Caixa'!$B101="Saídas",-J101,J101),IF(OR('Fluxo de Caixa'!$B101="Saídas",AND('Fluxo de Caixa'!$B101="Transferências",'Fluxo de Caixa'!$C101="Transferências (Saídas)")),-J101,J101)+L100)</f>
        <v>147349</v>
      </c>
    </row>
    <row r="102" spans="1:12" ht="15.75" customHeight="1" x14ac:dyDescent="0.25">
      <c r="A102" s="3">
        <v>44000</v>
      </c>
      <c r="B102" s="4" t="s">
        <v>12</v>
      </c>
      <c r="C102" s="5" t="s">
        <v>33</v>
      </c>
      <c r="D102" s="6" t="s">
        <v>142</v>
      </c>
      <c r="E102" s="6" t="s">
        <v>22</v>
      </c>
      <c r="F102" s="6" t="s">
        <v>16</v>
      </c>
      <c r="G102" s="6" t="s">
        <v>17</v>
      </c>
      <c r="H102" s="6" t="s">
        <v>18</v>
      </c>
      <c r="I102" s="6" t="s">
        <v>19</v>
      </c>
      <c r="J102" s="7">
        <v>2000</v>
      </c>
      <c r="K102" s="7">
        <f>IF(ROW()=2,IF('Fluxo de Caixa'!$H102="Em aberto",0,IF('Fluxo de Caixa'!$B102="Saídas",-J102,J102)),IF('Fluxo de Caixa'!$H102="Em aberto",0,IF(OR('Fluxo de Caixa'!$B102="Saídas",AND('Fluxo de Caixa'!$B102="Transferências",'Fluxo de Caixa'!$C102="Transferências (Saídas)")),-J102,J102))+K101)</f>
        <v>149349</v>
      </c>
      <c r="L102" s="8">
        <f>IF(ROW()=2,IF('Fluxo de Caixa'!$B102="Saídas",-J102,J102),IF(OR('Fluxo de Caixa'!$B102="Saídas",AND('Fluxo de Caixa'!$B102="Transferências",'Fluxo de Caixa'!$C102="Transferências (Saídas)")),-J102,J102)+L101)</f>
        <v>149349</v>
      </c>
    </row>
    <row r="103" spans="1:12" ht="15.75" customHeight="1" x14ac:dyDescent="0.25">
      <c r="A103" s="3">
        <v>44001</v>
      </c>
      <c r="B103" s="4" t="s">
        <v>143</v>
      </c>
      <c r="C103" s="5" t="s">
        <v>144</v>
      </c>
      <c r="D103" s="6"/>
      <c r="E103" s="6"/>
      <c r="F103" s="6"/>
      <c r="G103" s="6"/>
      <c r="H103" s="6" t="s">
        <v>18</v>
      </c>
      <c r="I103" s="6" t="s">
        <v>40</v>
      </c>
      <c r="J103" s="7">
        <v>200000</v>
      </c>
      <c r="K103" s="7">
        <f>IF(ROW()=2,IF('Fluxo de Caixa'!$H103="Em aberto",0,IF('Fluxo de Caixa'!$B103="Saídas",-J103,J103)),IF('Fluxo de Caixa'!$H103="Em aberto",0,IF(OR('Fluxo de Caixa'!$B103="Saídas",AND('Fluxo de Caixa'!$B103="Transferências",'Fluxo de Caixa'!$C103="Transferências (Saídas)")),-J103,J103))+K102)</f>
        <v>349349</v>
      </c>
      <c r="L103" s="8">
        <f>IF(ROW()=2,IF('Fluxo de Caixa'!$B103="Saídas",-J103,J103),IF(OR('Fluxo de Caixa'!$B103="Saídas",AND('Fluxo de Caixa'!$B103="Transferências",'Fluxo de Caixa'!$C103="Transferências (Saídas)")),-J103,J103)+L102)</f>
        <v>349349</v>
      </c>
    </row>
    <row r="104" spans="1:12" ht="15.75" customHeight="1" x14ac:dyDescent="0.25">
      <c r="A104" s="3">
        <v>44001</v>
      </c>
      <c r="B104" s="4" t="s">
        <v>143</v>
      </c>
      <c r="C104" s="5" t="s">
        <v>145</v>
      </c>
      <c r="D104" s="6"/>
      <c r="E104" s="6"/>
      <c r="F104" s="6"/>
      <c r="G104" s="6"/>
      <c r="H104" s="6" t="s">
        <v>18</v>
      </c>
      <c r="I104" s="6" t="s">
        <v>24</v>
      </c>
      <c r="J104" s="7">
        <v>100000</v>
      </c>
      <c r="K104" s="7">
        <f>IF(ROW()=2,IF('Fluxo de Caixa'!$H104="Em aberto",0,IF('Fluxo de Caixa'!$B104="Saídas",-J104,J104)),IF('Fluxo de Caixa'!$H104="Em aberto",0,IF(OR('Fluxo de Caixa'!$B104="Saídas",AND('Fluxo de Caixa'!$B104="Transferências",'Fluxo de Caixa'!$C104="Transferências (Saídas)")),-J104,J104))+K103)</f>
        <v>249349</v>
      </c>
      <c r="L104" s="8">
        <f>IF(ROW()=2,IF('Fluxo de Caixa'!$B104="Saídas",-J104,J104),IF(OR('Fluxo de Caixa'!$B104="Saídas",AND('Fluxo de Caixa'!$B104="Transferências",'Fluxo de Caixa'!$C104="Transferências (Saídas)")),-J104,J104)+L103)</f>
        <v>249349</v>
      </c>
    </row>
    <row r="105" spans="1:12" ht="15.75" customHeight="1" x14ac:dyDescent="0.25"/>
    <row r="106" spans="1:12" ht="15.75" customHeight="1" x14ac:dyDescent="0.25"/>
    <row r="107" spans="1:12" ht="15.75" customHeight="1" x14ac:dyDescent="0.25"/>
    <row r="108" spans="1:12" ht="15.75" customHeight="1" x14ac:dyDescent="0.25"/>
    <row r="109" spans="1:12" ht="15.75" customHeight="1" x14ac:dyDescent="0.25"/>
    <row r="110" spans="1:12" ht="15.75" customHeight="1" x14ac:dyDescent="0.25"/>
    <row r="111" spans="1:12" ht="15.75" customHeight="1" x14ac:dyDescent="0.25"/>
    <row r="112" spans="1: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dataValidations count="7">
    <dataValidation type="list" allowBlank="1" showErrorMessage="1" sqref="B2:B104" xr:uid="{00000000-0002-0000-0100-000000000000}">
      <formula1>"Entradas,Saídas,Transferências"</formula1>
    </dataValidation>
    <dataValidation type="custom" allowBlank="1" showInputMessage="1" showErrorMessage="1" prompt="Erro! - Somente valores positivos devem ser cadastrados nessa coluna (saídas serão descontadas do Saldo Acumulado)" sqref="J2:J104" xr:uid="{00000000-0002-0000-0100-000001000000}">
      <formula1>J2&gt;0</formula1>
    </dataValidation>
    <dataValidation type="list" allowBlank="1" showErrorMessage="1" sqref="F2:F104" xr:uid="{00000000-0002-0000-0100-000002000000}">
      <formula1>Favorecidos</formula1>
    </dataValidation>
    <dataValidation type="list" allowBlank="1" showErrorMessage="1" sqref="C2:C104" xr:uid="{00000000-0002-0000-0100-000003000000}">
      <formula1>INDIRECT($B2)</formula1>
    </dataValidation>
    <dataValidation type="list" allowBlank="1" showErrorMessage="1" sqref="G2:G104" xr:uid="{00000000-0002-0000-0100-000004000000}">
      <formula1>CentroDeCustos</formula1>
    </dataValidation>
    <dataValidation type="list" allowBlank="1" showErrorMessage="1" sqref="H2:H104" xr:uid="{00000000-0002-0000-0100-000005000000}">
      <formula1>"Pago,Em aberto"</formula1>
    </dataValidation>
    <dataValidation type="list" allowBlank="1" showErrorMessage="1" sqref="I2:I104" xr:uid="{00000000-0002-0000-0100-000006000000}">
      <formula1>Contas</formula1>
    </dataValidation>
  </dataValidations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Z1000"/>
  <sheetViews>
    <sheetView showGridLines="0" tabSelected="1" zoomScale="85" zoomScaleNormal="85" workbookViewId="0">
      <selection activeCell="D16" sqref="D16"/>
    </sheetView>
  </sheetViews>
  <sheetFormatPr defaultColWidth="14.42578125" defaultRowHeight="15" customHeight="1" x14ac:dyDescent="0.25"/>
  <cols>
    <col min="1" max="1" width="17" customWidth="1"/>
    <col min="2" max="3" width="15.28515625" customWidth="1"/>
    <col min="4" max="5" width="14.28515625" customWidth="1"/>
    <col min="6" max="6" width="9.140625" customWidth="1"/>
    <col min="7" max="9" width="14.28515625" customWidth="1"/>
    <col min="10" max="10" width="9.140625" customWidth="1"/>
    <col min="11" max="14" width="14.28515625" customWidth="1"/>
    <col min="15" max="16" width="8.7109375" customWidth="1"/>
    <col min="17" max="18" width="10.7109375" customWidth="1"/>
    <col min="19" max="26" width="8.7109375" customWidth="1"/>
  </cols>
  <sheetData>
    <row r="1" spans="1:26" ht="39.75" customHeight="1" x14ac:dyDescent="0.25">
      <c r="A1" s="34" t="s">
        <v>146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4"/>
    </row>
    <row r="2" spans="1:26" ht="9" customHeight="1" x14ac:dyDescent="0.25">
      <c r="F2" s="9"/>
    </row>
    <row r="3" spans="1:26" ht="21" x14ac:dyDescent="0.25">
      <c r="A3" s="35" t="s">
        <v>147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3"/>
      <c r="R3" s="10"/>
      <c r="S3" s="10"/>
      <c r="T3" s="10"/>
      <c r="U3" s="10"/>
      <c r="V3" s="10"/>
      <c r="W3" s="10"/>
      <c r="X3" s="10"/>
      <c r="Y3" s="10"/>
      <c r="Z3" s="10"/>
    </row>
    <row r="4" spans="1:26" x14ac:dyDescent="0.25">
      <c r="F4" s="9"/>
    </row>
    <row r="5" spans="1:26" x14ac:dyDescent="0.25">
      <c r="F5" s="9"/>
      <c r="G5" s="36" t="s">
        <v>148</v>
      </c>
      <c r="H5" s="37"/>
      <c r="I5" s="11" t="s">
        <v>40</v>
      </c>
    </row>
    <row r="6" spans="1:26" x14ac:dyDescent="0.25">
      <c r="F6" s="9"/>
      <c r="G6" s="38" t="s">
        <v>149</v>
      </c>
      <c r="H6" s="39"/>
      <c r="I6" s="12">
        <v>43971</v>
      </c>
    </row>
    <row r="7" spans="1:26" x14ac:dyDescent="0.25">
      <c r="F7" s="9"/>
    </row>
    <row r="8" spans="1:26" x14ac:dyDescent="0.25">
      <c r="F8" s="9"/>
    </row>
    <row r="9" spans="1:26" ht="15" customHeight="1" x14ac:dyDescent="0.25">
      <c r="B9" s="40" t="s">
        <v>150</v>
      </c>
      <c r="C9" s="23"/>
      <c r="D9" s="24"/>
      <c r="F9" s="9"/>
      <c r="G9" s="22" t="s">
        <v>151</v>
      </c>
      <c r="H9" s="23"/>
      <c r="I9" s="24"/>
      <c r="L9" s="41" t="s">
        <v>152</v>
      </c>
      <c r="M9" s="23"/>
      <c r="N9" s="24"/>
    </row>
    <row r="10" spans="1:26" ht="23.25" customHeight="1" x14ac:dyDescent="0.25">
      <c r="B10" s="25">
        <f>SUMIFS('Fluxo de Caixa'!J:J,'Fluxo de Caixa'!I:I,Resumo!I5,'Fluxo de Caixa'!A:A,"&lt;="&amp;Resumo!I6,'Fluxo de Caixa'!B:B,"Entradas",'Fluxo de Caixa'!H:H,"Pago")</f>
        <v>100216</v>
      </c>
      <c r="C10" s="26"/>
      <c r="D10" s="27"/>
      <c r="F10" s="9"/>
      <c r="G10" s="25">
        <f>SUMIFS('Fluxo de Caixa'!J:J,'Fluxo de Caixa'!I:I,Resumo!I5,'Fluxo de Caixa'!A:A,"&lt;="&amp;Resumo!I6,'Fluxo de Caixa'!B:B,"Saídas",'Fluxo de Caixa'!H:H,"Pago")</f>
        <v>56267</v>
      </c>
      <c r="H10" s="26"/>
      <c r="I10" s="27"/>
      <c r="L10" s="25">
        <f>B10-G10</f>
        <v>43949</v>
      </c>
      <c r="M10" s="26"/>
      <c r="N10" s="27"/>
    </row>
    <row r="11" spans="1:26" ht="23.25" customHeight="1" x14ac:dyDescent="0.25">
      <c r="B11" s="28"/>
      <c r="C11" s="29"/>
      <c r="D11" s="30"/>
      <c r="G11" s="28"/>
      <c r="H11" s="29"/>
      <c r="I11" s="30"/>
      <c r="L11" s="28"/>
      <c r="M11" s="29"/>
      <c r="N11" s="30"/>
    </row>
    <row r="12" spans="1:26" x14ac:dyDescent="0.25">
      <c r="F12" s="9"/>
    </row>
    <row r="13" spans="1:26" ht="21" x14ac:dyDescent="0.25">
      <c r="A13" s="31" t="s">
        <v>153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3"/>
    </row>
    <row r="14" spans="1:26" x14ac:dyDescent="0.25">
      <c r="F14" s="9"/>
    </row>
    <row r="15" spans="1:26" x14ac:dyDescent="0.25">
      <c r="A15" s="13" t="s">
        <v>154</v>
      </c>
      <c r="B15" s="11" t="s">
        <v>155</v>
      </c>
      <c r="F15" s="9"/>
    </row>
    <row r="16" spans="1:26" x14ac:dyDescent="0.25">
      <c r="A16" s="13" t="s">
        <v>156</v>
      </c>
      <c r="B16" s="11">
        <v>2019</v>
      </c>
      <c r="F16" s="9"/>
    </row>
    <row r="17" spans="1:6" x14ac:dyDescent="0.25">
      <c r="F17" s="9"/>
    </row>
    <row r="18" spans="1:6" x14ac:dyDescent="0.25">
      <c r="F18" s="9"/>
    </row>
    <row r="19" spans="1:6" x14ac:dyDescent="0.25">
      <c r="A19" s="14" t="s">
        <v>157</v>
      </c>
      <c r="B19" s="14" t="s">
        <v>12</v>
      </c>
      <c r="C19" s="14" t="s">
        <v>25</v>
      </c>
      <c r="D19" s="14" t="s">
        <v>158</v>
      </c>
      <c r="E19" s="14" t="s">
        <v>10</v>
      </c>
      <c r="F19" s="9"/>
    </row>
    <row r="20" spans="1:6" x14ac:dyDescent="0.25">
      <c r="A20" s="18">
        <f>DATE($B$16,VLOOKUP(B15,Auxiliar!$A$1:$B$12,2,0),1)</f>
        <v>43466</v>
      </c>
      <c r="B20" s="19">
        <f>SUMIFS('Fluxo de Caixa'!J:J,'Fluxo de Caixa'!B:B,"Entradas",'Fluxo de Caixa'!H:H,"Pago",'Fluxo de Caixa'!A:A,"&gt;="&amp;Resumo!A20,'Fluxo de Caixa'!A:A,"&lt;="&amp;EOMONTH(Resumo!A20,0))</f>
        <v>26220</v>
      </c>
      <c r="C20" s="19">
        <f>-SUMIFS('Fluxo de Caixa'!J:J,'Fluxo de Caixa'!B:B,"Saídas",'Fluxo de Caixa'!H:H,"Pago",'Fluxo de Caixa'!A:A,"&gt;="&amp;Resumo!A20,'Fluxo de Caixa'!A:A,"&lt;="&amp;EOMONTH(Resumo!A20,0))</f>
        <v>-3109</v>
      </c>
      <c r="D20" s="19">
        <f t="shared" ref="D20:D79" si="0">+B20+C20</f>
        <v>23111</v>
      </c>
      <c r="E20" s="19">
        <f>+D20</f>
        <v>23111</v>
      </c>
      <c r="F20" s="7"/>
    </row>
    <row r="21" spans="1:6" ht="15.75" customHeight="1" x14ac:dyDescent="0.25">
      <c r="A21" s="18">
        <f t="shared" ref="A21:A79" si="1">DATE(YEAR(A20),MONTH(A20)+1,1)</f>
        <v>43497</v>
      </c>
      <c r="B21" s="19">
        <f>SUMIFS('Fluxo de Caixa'!J:J,'Fluxo de Caixa'!B:B,"Entradas",'Fluxo de Caixa'!H:H,"Pago",'Fluxo de Caixa'!A:A,"&gt;="&amp;Resumo!A21,'Fluxo de Caixa'!A:A,"&lt;="&amp;EOMONTH(Resumo!A21,0))</f>
        <v>8422</v>
      </c>
      <c r="C21" s="19">
        <f>-SUMIFS('Fluxo de Caixa'!J:J,'Fluxo de Caixa'!B:B,"Saídas",'Fluxo de Caixa'!H:H,"Pago",'Fluxo de Caixa'!A:A,"&gt;="&amp;Resumo!A21,'Fluxo de Caixa'!A:A,"&lt;="&amp;EOMONTH(Resumo!A21,0))</f>
        <v>-9580</v>
      </c>
      <c r="D21" s="19">
        <f t="shared" si="0"/>
        <v>-1158</v>
      </c>
      <c r="E21" s="19">
        <f t="shared" ref="E21:E79" si="2">+E20+D21</f>
        <v>21953</v>
      </c>
      <c r="F21" s="7"/>
    </row>
    <row r="22" spans="1:6" ht="15.75" customHeight="1" x14ac:dyDescent="0.25">
      <c r="A22" s="18">
        <f t="shared" si="1"/>
        <v>43525</v>
      </c>
      <c r="B22" s="19">
        <f>SUMIFS('Fluxo de Caixa'!J:J,'Fluxo de Caixa'!B:B,"Entradas",'Fluxo de Caixa'!H:H,"Pago",'Fluxo de Caixa'!A:A,"&gt;="&amp;Resumo!A22,'Fluxo de Caixa'!A:A,"&lt;="&amp;EOMONTH(Resumo!A22,0))</f>
        <v>17979</v>
      </c>
      <c r="C22" s="19">
        <f>-SUMIFS('Fluxo de Caixa'!J:J,'Fluxo de Caixa'!B:B,"Saídas",'Fluxo de Caixa'!H:H,"Pago",'Fluxo de Caixa'!A:A,"&gt;="&amp;Resumo!A22,'Fluxo de Caixa'!A:A,"&lt;="&amp;EOMONTH(Resumo!A22,0))</f>
        <v>-8467</v>
      </c>
      <c r="D22" s="19">
        <f t="shared" si="0"/>
        <v>9512</v>
      </c>
      <c r="E22" s="19">
        <f t="shared" si="2"/>
        <v>31465</v>
      </c>
      <c r="F22" s="7"/>
    </row>
    <row r="23" spans="1:6" ht="15.75" customHeight="1" x14ac:dyDescent="0.25">
      <c r="A23" s="18">
        <f t="shared" si="1"/>
        <v>43556</v>
      </c>
      <c r="B23" s="19">
        <f>SUMIFS('Fluxo de Caixa'!J:J,'Fluxo de Caixa'!B:B,"Entradas",'Fluxo de Caixa'!H:H,"Pago",'Fluxo de Caixa'!A:A,"&gt;="&amp;Resumo!A23,'Fluxo de Caixa'!A:A,"&lt;="&amp;EOMONTH(Resumo!A23,0))</f>
        <v>21232</v>
      </c>
      <c r="C23" s="19">
        <f>-SUMIFS('Fluxo de Caixa'!J:J,'Fluxo de Caixa'!B:B,"Saídas",'Fluxo de Caixa'!H:H,"Pago",'Fluxo de Caixa'!A:A,"&gt;="&amp;Resumo!A23,'Fluxo de Caixa'!A:A,"&lt;="&amp;EOMONTH(Resumo!A23,0))</f>
        <v>-17037</v>
      </c>
      <c r="D23" s="19">
        <f t="shared" si="0"/>
        <v>4195</v>
      </c>
      <c r="E23" s="19">
        <f t="shared" si="2"/>
        <v>35660</v>
      </c>
      <c r="F23" s="7"/>
    </row>
    <row r="24" spans="1:6" ht="15.75" customHeight="1" x14ac:dyDescent="0.25">
      <c r="A24" s="18">
        <f t="shared" si="1"/>
        <v>43586</v>
      </c>
      <c r="B24" s="19">
        <f>SUMIFS('Fluxo de Caixa'!J:J,'Fluxo de Caixa'!B:B,"Entradas",'Fluxo de Caixa'!H:H,"Pago",'Fluxo de Caixa'!A:A,"&gt;="&amp;Resumo!A24,'Fluxo de Caixa'!A:A,"&lt;="&amp;EOMONTH(Resumo!A24,0))</f>
        <v>2019</v>
      </c>
      <c r="C24" s="19">
        <f>-SUMIFS('Fluxo de Caixa'!J:J,'Fluxo de Caixa'!B:B,"Saídas",'Fluxo de Caixa'!H:H,"Pago",'Fluxo de Caixa'!A:A,"&gt;="&amp;Resumo!A24,'Fluxo de Caixa'!A:A,"&lt;="&amp;EOMONTH(Resumo!A24,0))</f>
        <v>-5293</v>
      </c>
      <c r="D24" s="19">
        <f t="shared" si="0"/>
        <v>-3274</v>
      </c>
      <c r="E24" s="19">
        <f t="shared" si="2"/>
        <v>32386</v>
      </c>
      <c r="F24" s="7"/>
    </row>
    <row r="25" spans="1:6" ht="15.75" customHeight="1" x14ac:dyDescent="0.25">
      <c r="A25" s="18">
        <f t="shared" si="1"/>
        <v>43617</v>
      </c>
      <c r="B25" s="19">
        <f>SUMIFS('Fluxo de Caixa'!J:J,'Fluxo de Caixa'!B:B,"Entradas",'Fluxo de Caixa'!H:H,"Pago",'Fluxo de Caixa'!A:A,"&gt;="&amp;Resumo!A25,'Fluxo de Caixa'!A:A,"&lt;="&amp;EOMONTH(Resumo!A25,0))</f>
        <v>17243</v>
      </c>
      <c r="C25" s="19">
        <f>-SUMIFS('Fluxo de Caixa'!J:J,'Fluxo de Caixa'!B:B,"Saídas",'Fluxo de Caixa'!H:H,"Pago",'Fluxo de Caixa'!A:A,"&gt;="&amp;Resumo!A25,'Fluxo de Caixa'!A:A,"&lt;="&amp;EOMONTH(Resumo!A25,0))</f>
        <v>-9324</v>
      </c>
      <c r="D25" s="19">
        <f t="shared" si="0"/>
        <v>7919</v>
      </c>
      <c r="E25" s="19">
        <f t="shared" si="2"/>
        <v>40305</v>
      </c>
      <c r="F25" s="7"/>
    </row>
    <row r="26" spans="1:6" ht="15.75" customHeight="1" x14ac:dyDescent="0.25">
      <c r="A26" s="18">
        <f t="shared" si="1"/>
        <v>43647</v>
      </c>
      <c r="B26" s="19">
        <f>SUMIFS('Fluxo de Caixa'!J:J,'Fluxo de Caixa'!B:B,"Entradas",'Fluxo de Caixa'!H:H,"Pago",'Fluxo de Caixa'!A:A,"&gt;="&amp;Resumo!A26,'Fluxo de Caixa'!A:A,"&lt;="&amp;EOMONTH(Resumo!A26,0))</f>
        <v>28495</v>
      </c>
      <c r="C26" s="19">
        <f>-SUMIFS('Fluxo de Caixa'!J:J,'Fluxo de Caixa'!B:B,"Saídas",'Fluxo de Caixa'!H:H,"Pago",'Fluxo de Caixa'!A:A,"&gt;="&amp;Resumo!A26,'Fluxo de Caixa'!A:A,"&lt;="&amp;EOMONTH(Resumo!A26,0))</f>
        <v>-269</v>
      </c>
      <c r="D26" s="19">
        <f t="shared" si="0"/>
        <v>28226</v>
      </c>
      <c r="E26" s="19">
        <f t="shared" si="2"/>
        <v>68531</v>
      </c>
      <c r="F26" s="9"/>
    </row>
    <row r="27" spans="1:6" ht="15.75" customHeight="1" x14ac:dyDescent="0.25">
      <c r="A27" s="18">
        <f t="shared" si="1"/>
        <v>43678</v>
      </c>
      <c r="B27" s="19">
        <f>SUMIFS('Fluxo de Caixa'!J:J,'Fluxo de Caixa'!B:B,"Entradas",'Fluxo de Caixa'!H:H,"Pago",'Fluxo de Caixa'!A:A,"&gt;="&amp;Resumo!A27,'Fluxo de Caixa'!A:A,"&lt;="&amp;EOMONTH(Resumo!A27,0))</f>
        <v>18778</v>
      </c>
      <c r="C27" s="19">
        <f>-SUMIFS('Fluxo de Caixa'!J:J,'Fluxo de Caixa'!B:B,"Saídas",'Fluxo de Caixa'!H:H,"Pago",'Fluxo de Caixa'!A:A,"&gt;="&amp;Resumo!A27,'Fluxo de Caixa'!A:A,"&lt;="&amp;EOMONTH(Resumo!A27,0))</f>
        <v>-26457</v>
      </c>
      <c r="D27" s="19">
        <f t="shared" si="0"/>
        <v>-7679</v>
      </c>
      <c r="E27" s="19">
        <f t="shared" si="2"/>
        <v>60852</v>
      </c>
      <c r="F27" s="9"/>
    </row>
    <row r="28" spans="1:6" ht="15.75" customHeight="1" x14ac:dyDescent="0.25">
      <c r="A28" s="18">
        <f t="shared" si="1"/>
        <v>43709</v>
      </c>
      <c r="B28" s="19">
        <f>SUMIFS('Fluxo de Caixa'!J:J,'Fluxo de Caixa'!B:B,"Entradas",'Fluxo de Caixa'!H:H,"Pago",'Fluxo de Caixa'!A:A,"&gt;="&amp;Resumo!A28,'Fluxo de Caixa'!A:A,"&lt;="&amp;EOMONTH(Resumo!A28,0))</f>
        <v>34128</v>
      </c>
      <c r="C28" s="19">
        <f>-SUMIFS('Fluxo de Caixa'!J:J,'Fluxo de Caixa'!B:B,"Saídas",'Fluxo de Caixa'!H:H,"Pago",'Fluxo de Caixa'!A:A,"&gt;="&amp;Resumo!A28,'Fluxo de Caixa'!A:A,"&lt;="&amp;EOMONTH(Resumo!A28,0))</f>
        <v>-21099</v>
      </c>
      <c r="D28" s="19">
        <f t="shared" si="0"/>
        <v>13029</v>
      </c>
      <c r="E28" s="19">
        <f t="shared" si="2"/>
        <v>73881</v>
      </c>
      <c r="F28" s="9"/>
    </row>
    <row r="29" spans="1:6" ht="15.75" customHeight="1" x14ac:dyDescent="0.25">
      <c r="A29" s="18">
        <f t="shared" si="1"/>
        <v>43739</v>
      </c>
      <c r="B29" s="19">
        <f>SUMIFS('Fluxo de Caixa'!J:J,'Fluxo de Caixa'!B:B,"Entradas",'Fluxo de Caixa'!H:H,"Pago",'Fluxo de Caixa'!A:A,"&gt;="&amp;Resumo!A29,'Fluxo de Caixa'!A:A,"&lt;="&amp;EOMONTH(Resumo!A29,0))</f>
        <v>20750</v>
      </c>
      <c r="C29" s="19">
        <f>-SUMIFS('Fluxo de Caixa'!J:J,'Fluxo de Caixa'!B:B,"Saídas",'Fluxo de Caixa'!H:H,"Pago",'Fluxo de Caixa'!A:A,"&gt;="&amp;Resumo!A29,'Fluxo de Caixa'!A:A,"&lt;="&amp;EOMONTH(Resumo!A29,0))</f>
        <v>-13108</v>
      </c>
      <c r="D29" s="19">
        <f t="shared" si="0"/>
        <v>7642</v>
      </c>
      <c r="E29" s="19">
        <f t="shared" si="2"/>
        <v>81523</v>
      </c>
      <c r="F29" s="9"/>
    </row>
    <row r="30" spans="1:6" ht="15.75" customHeight="1" x14ac:dyDescent="0.25">
      <c r="A30" s="18">
        <f t="shared" si="1"/>
        <v>43770</v>
      </c>
      <c r="B30" s="19">
        <f>SUMIFS('Fluxo de Caixa'!J:J,'Fluxo de Caixa'!B:B,"Entradas",'Fluxo de Caixa'!H:H,"Pago",'Fluxo de Caixa'!A:A,"&gt;="&amp;Resumo!A30,'Fluxo de Caixa'!A:A,"&lt;="&amp;EOMONTH(Resumo!A30,0))</f>
        <v>21926</v>
      </c>
      <c r="C30" s="19">
        <f>-SUMIFS('Fluxo de Caixa'!J:J,'Fluxo de Caixa'!B:B,"Saídas",'Fluxo de Caixa'!H:H,"Pago",'Fluxo de Caixa'!A:A,"&gt;="&amp;Resumo!A30,'Fluxo de Caixa'!A:A,"&lt;="&amp;EOMONTH(Resumo!A30,0))</f>
        <v>-6941</v>
      </c>
      <c r="D30" s="19">
        <f t="shared" si="0"/>
        <v>14985</v>
      </c>
      <c r="E30" s="19">
        <f t="shared" si="2"/>
        <v>96508</v>
      </c>
      <c r="F30" s="9"/>
    </row>
    <row r="31" spans="1:6" ht="15.75" customHeight="1" x14ac:dyDescent="0.25">
      <c r="A31" s="18">
        <f t="shared" si="1"/>
        <v>43800</v>
      </c>
      <c r="B31" s="19">
        <f>SUMIFS('Fluxo de Caixa'!J:J,'Fluxo de Caixa'!B:B,"Entradas",'Fluxo de Caixa'!H:H,"Pago",'Fluxo de Caixa'!A:A,"&gt;="&amp;Resumo!A31,'Fluxo de Caixa'!A:A,"&lt;="&amp;EOMONTH(Resumo!A31,0))</f>
        <v>25581</v>
      </c>
      <c r="C31" s="19">
        <f>-SUMIFS('Fluxo de Caixa'!J:J,'Fluxo de Caixa'!B:B,"Saídas",'Fluxo de Caixa'!H:H,"Pago",'Fluxo de Caixa'!A:A,"&gt;="&amp;Resumo!A31,'Fluxo de Caixa'!A:A,"&lt;="&amp;EOMONTH(Resumo!A31,0))</f>
        <v>-17104</v>
      </c>
      <c r="D31" s="19">
        <f t="shared" si="0"/>
        <v>8477</v>
      </c>
      <c r="E31" s="19">
        <f t="shared" si="2"/>
        <v>104985</v>
      </c>
      <c r="F31" s="9"/>
    </row>
    <row r="32" spans="1:6" ht="15.75" customHeight="1" x14ac:dyDescent="0.25">
      <c r="A32" s="18">
        <f t="shared" si="1"/>
        <v>43831</v>
      </c>
      <c r="B32" s="19">
        <f>SUMIFS('Fluxo de Caixa'!J:J,'Fluxo de Caixa'!B:B,"Entradas",'Fluxo de Caixa'!H:H,"Pago",'Fluxo de Caixa'!A:A,"&gt;="&amp;Resumo!A32,'Fluxo de Caixa'!A:A,"&lt;="&amp;EOMONTH(Resumo!A32,0))</f>
        <v>11212</v>
      </c>
      <c r="C32" s="19">
        <f>-SUMIFS('Fluxo de Caixa'!J:J,'Fluxo de Caixa'!B:B,"Saídas",'Fluxo de Caixa'!H:H,"Pago",'Fluxo de Caixa'!A:A,"&gt;="&amp;Resumo!A32,'Fluxo de Caixa'!A:A,"&lt;="&amp;EOMONTH(Resumo!A32,0))</f>
        <v>-18329</v>
      </c>
      <c r="D32" s="19">
        <f t="shared" si="0"/>
        <v>-7117</v>
      </c>
      <c r="E32" s="19">
        <f t="shared" si="2"/>
        <v>97868</v>
      </c>
      <c r="F32" s="9"/>
    </row>
    <row r="33" spans="1:18" ht="15.75" customHeight="1" x14ac:dyDescent="0.25">
      <c r="A33" s="18">
        <f t="shared" si="1"/>
        <v>43862</v>
      </c>
      <c r="B33" s="19">
        <f>SUMIFS('Fluxo de Caixa'!J:J,'Fluxo de Caixa'!B:B,"Entradas",'Fluxo de Caixa'!H:H,"Pago",'Fluxo de Caixa'!A:A,"&gt;="&amp;Resumo!A33,'Fluxo de Caixa'!A:A,"&lt;="&amp;EOMONTH(Resumo!A33,0))</f>
        <v>28680</v>
      </c>
      <c r="C33" s="19">
        <f>-SUMIFS('Fluxo de Caixa'!J:J,'Fluxo de Caixa'!B:B,"Saídas",'Fluxo de Caixa'!H:H,"Pago",'Fluxo de Caixa'!A:A,"&gt;="&amp;Resumo!A33,'Fluxo de Caixa'!A:A,"&lt;="&amp;EOMONTH(Resumo!A33,0))</f>
        <v>-14682</v>
      </c>
      <c r="D33" s="19">
        <f t="shared" si="0"/>
        <v>13998</v>
      </c>
      <c r="E33" s="19">
        <f t="shared" si="2"/>
        <v>111866</v>
      </c>
      <c r="F33" s="9"/>
    </row>
    <row r="34" spans="1:18" ht="15.75" customHeight="1" x14ac:dyDescent="0.25">
      <c r="A34" s="18">
        <f t="shared" si="1"/>
        <v>43891</v>
      </c>
      <c r="B34" s="19">
        <f>SUMIFS('Fluxo de Caixa'!J:J,'Fluxo de Caixa'!B:B,"Entradas",'Fluxo de Caixa'!H:H,"Pago",'Fluxo de Caixa'!A:A,"&gt;="&amp;Resumo!A34,'Fluxo de Caixa'!A:A,"&lt;="&amp;EOMONTH(Resumo!A34,0))</f>
        <v>18200</v>
      </c>
      <c r="C34" s="19">
        <f>-SUMIFS('Fluxo de Caixa'!J:J,'Fluxo de Caixa'!B:B,"Saídas",'Fluxo de Caixa'!H:H,"Pago",'Fluxo de Caixa'!A:A,"&gt;="&amp;Resumo!A34,'Fluxo de Caixa'!A:A,"&lt;="&amp;EOMONTH(Resumo!A34,0))</f>
        <v>-11900</v>
      </c>
      <c r="D34" s="19">
        <f t="shared" si="0"/>
        <v>6300</v>
      </c>
      <c r="E34" s="19">
        <f t="shared" si="2"/>
        <v>118166</v>
      </c>
      <c r="F34" s="9"/>
    </row>
    <row r="35" spans="1:18" ht="15.75" customHeight="1" x14ac:dyDescent="0.25">
      <c r="A35" s="18">
        <f t="shared" si="1"/>
        <v>43922</v>
      </c>
      <c r="B35" s="19">
        <f>SUMIFS('Fluxo de Caixa'!J:J,'Fluxo de Caixa'!B:B,"Entradas",'Fluxo de Caixa'!H:H,"Pago",'Fluxo de Caixa'!A:A,"&gt;="&amp;Resumo!A35,'Fluxo de Caixa'!A:A,"&lt;="&amp;EOMONTH(Resumo!A35,0))</f>
        <v>20491</v>
      </c>
      <c r="C35" s="19">
        <f>-SUMIFS('Fluxo de Caixa'!J:J,'Fluxo de Caixa'!B:B,"Saídas",'Fluxo de Caixa'!H:H,"Pago",'Fluxo de Caixa'!A:A,"&gt;="&amp;Resumo!A35,'Fluxo de Caixa'!A:A,"&lt;="&amp;EOMONTH(Resumo!A35,0))</f>
        <v>-9464</v>
      </c>
      <c r="D35" s="19">
        <f t="shared" si="0"/>
        <v>11027</v>
      </c>
      <c r="E35" s="19">
        <f t="shared" si="2"/>
        <v>129193</v>
      </c>
      <c r="F35" s="9"/>
    </row>
    <row r="36" spans="1:18" ht="15.75" customHeight="1" x14ac:dyDescent="0.25">
      <c r="A36" s="18">
        <f t="shared" si="1"/>
        <v>43952</v>
      </c>
      <c r="B36" s="19">
        <f>SUMIFS('Fluxo de Caixa'!J:J,'Fluxo de Caixa'!B:B,"Entradas",'Fluxo de Caixa'!H:H,"Pago",'Fluxo de Caixa'!A:A,"&gt;="&amp;Resumo!A36,'Fluxo de Caixa'!A:A,"&lt;="&amp;EOMONTH(Resumo!A36,0))</f>
        <v>16859</v>
      </c>
      <c r="C36" s="19">
        <f>-SUMIFS('Fluxo de Caixa'!J:J,'Fluxo de Caixa'!B:B,"Saídas",'Fluxo de Caixa'!H:H,"Pago",'Fluxo de Caixa'!A:A,"&gt;="&amp;Resumo!A36,'Fluxo de Caixa'!A:A,"&lt;="&amp;EOMONTH(Resumo!A36,0))</f>
        <v>-13945</v>
      </c>
      <c r="D36" s="19">
        <f t="shared" si="0"/>
        <v>2914</v>
      </c>
      <c r="E36" s="19">
        <f t="shared" si="2"/>
        <v>132107</v>
      </c>
      <c r="F36" s="9"/>
    </row>
    <row r="37" spans="1:18" ht="15.75" customHeight="1" x14ac:dyDescent="0.25">
      <c r="A37" s="18">
        <f t="shared" si="1"/>
        <v>43983</v>
      </c>
      <c r="B37" s="19">
        <f>SUMIFS('Fluxo de Caixa'!J:J,'Fluxo de Caixa'!B:B,"Entradas",'Fluxo de Caixa'!H:H,"Pago",'Fluxo de Caixa'!A:A,"&gt;="&amp;Resumo!A37,'Fluxo de Caixa'!A:A,"&lt;="&amp;EOMONTH(Resumo!A37,0))</f>
        <v>18115</v>
      </c>
      <c r="C37" s="19">
        <f>-SUMIFS('Fluxo de Caixa'!J:J,'Fluxo de Caixa'!B:B,"Saídas",'Fluxo de Caixa'!H:H,"Pago",'Fluxo de Caixa'!A:A,"&gt;="&amp;Resumo!A37,'Fluxo de Caixa'!A:A,"&lt;="&amp;EOMONTH(Resumo!A37,0))</f>
        <v>-873</v>
      </c>
      <c r="D37" s="19">
        <f t="shared" si="0"/>
        <v>17242</v>
      </c>
      <c r="E37" s="19">
        <f t="shared" si="2"/>
        <v>149349</v>
      </c>
      <c r="F37" s="9"/>
    </row>
    <row r="38" spans="1:18" ht="15.75" customHeight="1" x14ac:dyDescent="0.25">
      <c r="A38" s="18">
        <f t="shared" si="1"/>
        <v>44013</v>
      </c>
      <c r="B38" s="19">
        <f>SUMIFS('Fluxo de Caixa'!J:J,'Fluxo de Caixa'!B:B,"Entradas",'Fluxo de Caixa'!H:H,"Pago",'Fluxo de Caixa'!A:A,"&gt;="&amp;Resumo!A38,'Fluxo de Caixa'!A:A,"&lt;="&amp;EOMONTH(Resumo!A38,0))</f>
        <v>0</v>
      </c>
      <c r="C38" s="19">
        <f>-SUMIFS('Fluxo de Caixa'!J:J,'Fluxo de Caixa'!B:B,"Saídas",'Fluxo de Caixa'!H:H,"Pago",'Fluxo de Caixa'!A:A,"&gt;="&amp;Resumo!A38,'Fluxo de Caixa'!A:A,"&lt;="&amp;EOMONTH(Resumo!A38,0))</f>
        <v>0</v>
      </c>
      <c r="D38" s="19">
        <f t="shared" si="0"/>
        <v>0</v>
      </c>
      <c r="E38" s="19">
        <f t="shared" si="2"/>
        <v>149349</v>
      </c>
      <c r="F38" s="9"/>
    </row>
    <row r="39" spans="1:18" ht="15.75" customHeight="1" x14ac:dyDescent="0.25">
      <c r="A39" s="18">
        <f t="shared" si="1"/>
        <v>44044</v>
      </c>
      <c r="B39" s="19">
        <f>SUMIFS('Fluxo de Caixa'!J:J,'Fluxo de Caixa'!B:B,"Entradas",'Fluxo de Caixa'!H:H,"Pago",'Fluxo de Caixa'!A:A,"&gt;="&amp;Resumo!A39,'Fluxo de Caixa'!A:A,"&lt;="&amp;EOMONTH(Resumo!A39,0))</f>
        <v>0</v>
      </c>
      <c r="C39" s="19">
        <f>-SUMIFS('Fluxo de Caixa'!J:J,'Fluxo de Caixa'!B:B,"Saídas",'Fluxo de Caixa'!H:H,"Pago",'Fluxo de Caixa'!A:A,"&gt;="&amp;Resumo!A39,'Fluxo de Caixa'!A:A,"&lt;="&amp;EOMONTH(Resumo!A39,0))</f>
        <v>0</v>
      </c>
      <c r="D39" s="19">
        <f t="shared" si="0"/>
        <v>0</v>
      </c>
      <c r="E39" s="19">
        <f t="shared" si="2"/>
        <v>149349</v>
      </c>
      <c r="F39" s="9"/>
    </row>
    <row r="40" spans="1:18" ht="15.75" customHeight="1" x14ac:dyDescent="0.25">
      <c r="A40" s="18">
        <f t="shared" si="1"/>
        <v>44075</v>
      </c>
      <c r="B40" s="19">
        <f>SUMIFS('Fluxo de Caixa'!J:J,'Fluxo de Caixa'!B:B,"Entradas",'Fluxo de Caixa'!H:H,"Pago",'Fluxo de Caixa'!A:A,"&gt;="&amp;Resumo!A40,'Fluxo de Caixa'!A:A,"&lt;="&amp;EOMONTH(Resumo!A40,0))</f>
        <v>0</v>
      </c>
      <c r="C40" s="19">
        <f>-SUMIFS('Fluxo de Caixa'!J:J,'Fluxo de Caixa'!B:B,"Saídas",'Fluxo de Caixa'!H:H,"Pago",'Fluxo de Caixa'!A:A,"&gt;="&amp;Resumo!A40,'Fluxo de Caixa'!A:A,"&lt;="&amp;EOMONTH(Resumo!A40,0))</f>
        <v>0</v>
      </c>
      <c r="D40" s="19">
        <f t="shared" si="0"/>
        <v>0</v>
      </c>
      <c r="E40" s="19">
        <f t="shared" si="2"/>
        <v>149349</v>
      </c>
      <c r="F40" s="9"/>
    </row>
    <row r="41" spans="1:18" ht="15.75" customHeight="1" x14ac:dyDescent="0.25">
      <c r="A41" s="18">
        <f t="shared" si="1"/>
        <v>44105</v>
      </c>
      <c r="B41" s="19">
        <f>SUMIFS('Fluxo de Caixa'!J:J,'Fluxo de Caixa'!B:B,"Entradas",'Fluxo de Caixa'!H:H,"Pago",'Fluxo de Caixa'!A:A,"&gt;="&amp;Resumo!A41,'Fluxo de Caixa'!A:A,"&lt;="&amp;EOMONTH(Resumo!A41,0))</f>
        <v>0</v>
      </c>
      <c r="C41" s="19">
        <f>-SUMIFS('Fluxo de Caixa'!J:J,'Fluxo de Caixa'!B:B,"Saídas",'Fluxo de Caixa'!H:H,"Pago",'Fluxo de Caixa'!A:A,"&gt;="&amp;Resumo!A41,'Fluxo de Caixa'!A:A,"&lt;="&amp;EOMONTH(Resumo!A41,0))</f>
        <v>0</v>
      </c>
      <c r="D41" s="19">
        <f t="shared" si="0"/>
        <v>0</v>
      </c>
      <c r="E41" s="19">
        <f t="shared" si="2"/>
        <v>149349</v>
      </c>
      <c r="F41" s="9"/>
    </row>
    <row r="42" spans="1:18" ht="15.75" customHeight="1" x14ac:dyDescent="0.25">
      <c r="A42" s="18">
        <f t="shared" si="1"/>
        <v>44136</v>
      </c>
      <c r="B42" s="19">
        <f>SUMIFS('Fluxo de Caixa'!J:J,'Fluxo de Caixa'!B:B,"Entradas",'Fluxo de Caixa'!H:H,"Pago",'Fluxo de Caixa'!A:A,"&gt;="&amp;Resumo!A42,'Fluxo de Caixa'!A:A,"&lt;="&amp;EOMONTH(Resumo!A42,0))</f>
        <v>0</v>
      </c>
      <c r="C42" s="19">
        <f>-SUMIFS('Fluxo de Caixa'!J:J,'Fluxo de Caixa'!B:B,"Saídas",'Fluxo de Caixa'!H:H,"Pago",'Fluxo de Caixa'!A:A,"&gt;="&amp;Resumo!A42,'Fluxo de Caixa'!A:A,"&lt;="&amp;EOMONTH(Resumo!A42,0))</f>
        <v>0</v>
      </c>
      <c r="D42" s="19">
        <f t="shared" si="0"/>
        <v>0</v>
      </c>
      <c r="E42" s="19">
        <f t="shared" si="2"/>
        <v>149349</v>
      </c>
      <c r="F42" s="9"/>
    </row>
    <row r="43" spans="1:18" ht="15.75" customHeight="1" x14ac:dyDescent="0.25">
      <c r="A43" s="18">
        <f t="shared" si="1"/>
        <v>44166</v>
      </c>
      <c r="B43" s="19">
        <f>SUMIFS('Fluxo de Caixa'!J:J,'Fluxo de Caixa'!B:B,"Entradas",'Fluxo de Caixa'!H:H,"Pago",'Fluxo de Caixa'!A:A,"&gt;="&amp;Resumo!A43,'Fluxo de Caixa'!A:A,"&lt;="&amp;EOMONTH(Resumo!A43,0))</f>
        <v>0</v>
      </c>
      <c r="C43" s="19">
        <f>-SUMIFS('Fluxo de Caixa'!J:J,'Fluxo de Caixa'!B:B,"Saídas",'Fluxo de Caixa'!H:H,"Pago",'Fluxo de Caixa'!A:A,"&gt;="&amp;Resumo!A43,'Fluxo de Caixa'!A:A,"&lt;="&amp;EOMONTH(Resumo!A43,0))</f>
        <v>0</v>
      </c>
      <c r="D43" s="19">
        <f t="shared" si="0"/>
        <v>0</v>
      </c>
      <c r="E43" s="19">
        <f t="shared" si="2"/>
        <v>149349</v>
      </c>
      <c r="F43" s="9"/>
    </row>
    <row r="44" spans="1:18" ht="15.75" customHeight="1" x14ac:dyDescent="0.25">
      <c r="A44" s="18">
        <f t="shared" si="1"/>
        <v>44197</v>
      </c>
      <c r="B44" s="19">
        <f>SUMIFS('Fluxo de Caixa'!J:J,'Fluxo de Caixa'!B:B,"Entradas",'Fluxo de Caixa'!H:H,"Pago",'Fluxo de Caixa'!A:A,"&gt;="&amp;Resumo!A44,'Fluxo de Caixa'!A:A,"&lt;="&amp;EOMONTH(Resumo!A44,0))</f>
        <v>0</v>
      </c>
      <c r="C44" s="19">
        <f>-SUMIFS('Fluxo de Caixa'!J:J,'Fluxo de Caixa'!B:B,"Saídas",'Fluxo de Caixa'!H:H,"Pago",'Fluxo de Caixa'!A:A,"&gt;="&amp;Resumo!A44,'Fluxo de Caixa'!A:A,"&lt;="&amp;EOMONTH(Resumo!A44,0))</f>
        <v>0</v>
      </c>
      <c r="D44" s="19">
        <f t="shared" si="0"/>
        <v>0</v>
      </c>
      <c r="E44" s="19">
        <f t="shared" si="2"/>
        <v>149349</v>
      </c>
      <c r="F44" s="9"/>
    </row>
    <row r="45" spans="1:18" ht="15.75" customHeight="1" x14ac:dyDescent="0.25">
      <c r="A45" s="18">
        <f t="shared" si="1"/>
        <v>44228</v>
      </c>
      <c r="B45" s="19">
        <f>SUMIFS('Fluxo de Caixa'!J:J,'Fluxo de Caixa'!B:B,"Entradas",'Fluxo de Caixa'!H:H,"Pago",'Fluxo de Caixa'!A:A,"&gt;="&amp;Resumo!A45,'Fluxo de Caixa'!A:A,"&lt;="&amp;EOMONTH(Resumo!A45,0))</f>
        <v>0</v>
      </c>
      <c r="C45" s="19">
        <f>-SUMIFS('Fluxo de Caixa'!J:J,'Fluxo de Caixa'!B:B,"Saídas",'Fluxo de Caixa'!H:H,"Pago",'Fluxo de Caixa'!A:A,"&gt;="&amp;Resumo!A45,'Fluxo de Caixa'!A:A,"&lt;="&amp;EOMONTH(Resumo!A45,0))</f>
        <v>0</v>
      </c>
      <c r="D45" s="19">
        <f t="shared" si="0"/>
        <v>0</v>
      </c>
      <c r="E45" s="19">
        <f t="shared" si="2"/>
        <v>149349</v>
      </c>
      <c r="F45" s="9"/>
      <c r="I45" s="15"/>
    </row>
    <row r="46" spans="1:18" ht="15.75" customHeight="1" x14ac:dyDescent="0.25">
      <c r="A46" s="18">
        <f t="shared" si="1"/>
        <v>44256</v>
      </c>
      <c r="B46" s="19">
        <f>SUMIFS('Fluxo de Caixa'!J:J,'Fluxo de Caixa'!B:B,"Entradas",'Fluxo de Caixa'!H:H,"Pago",'Fluxo de Caixa'!A:A,"&gt;="&amp;Resumo!A46,'Fluxo de Caixa'!A:A,"&lt;="&amp;EOMONTH(Resumo!A46,0))</f>
        <v>0</v>
      </c>
      <c r="C46" s="19">
        <f>-SUMIFS('Fluxo de Caixa'!J:J,'Fluxo de Caixa'!B:B,"Saídas",'Fluxo de Caixa'!H:H,"Pago",'Fluxo de Caixa'!A:A,"&gt;="&amp;Resumo!A46,'Fluxo de Caixa'!A:A,"&lt;="&amp;EOMONTH(Resumo!A46,0))</f>
        <v>0</v>
      </c>
      <c r="D46" s="19">
        <f t="shared" si="0"/>
        <v>0</v>
      </c>
      <c r="E46" s="19">
        <f t="shared" si="2"/>
        <v>149349</v>
      </c>
      <c r="F46" s="9"/>
      <c r="I46" s="15"/>
    </row>
    <row r="47" spans="1:18" ht="15.75" customHeight="1" x14ac:dyDescent="0.25">
      <c r="A47" s="18">
        <f t="shared" si="1"/>
        <v>44287</v>
      </c>
      <c r="B47" s="19">
        <f>SUMIFS('Fluxo de Caixa'!J:J,'Fluxo de Caixa'!B:B,"Entradas",'Fluxo de Caixa'!H:H,"Pago",'Fluxo de Caixa'!A:A,"&gt;="&amp;Resumo!A47,'Fluxo de Caixa'!A:A,"&lt;="&amp;EOMONTH(Resumo!A47,0))</f>
        <v>0</v>
      </c>
      <c r="C47" s="19">
        <f>-SUMIFS('Fluxo de Caixa'!J:J,'Fluxo de Caixa'!B:B,"Saídas",'Fluxo de Caixa'!H:H,"Pago",'Fluxo de Caixa'!A:A,"&gt;="&amp;Resumo!A47,'Fluxo de Caixa'!A:A,"&lt;="&amp;EOMONTH(Resumo!A47,0))</f>
        <v>0</v>
      </c>
      <c r="D47" s="19">
        <f t="shared" si="0"/>
        <v>0</v>
      </c>
      <c r="E47" s="19">
        <f t="shared" si="2"/>
        <v>149349</v>
      </c>
      <c r="F47" s="9"/>
      <c r="I47" s="15"/>
    </row>
    <row r="48" spans="1:18" ht="15.75" customHeight="1" x14ac:dyDescent="0.25">
      <c r="A48" s="18">
        <f t="shared" si="1"/>
        <v>44317</v>
      </c>
      <c r="B48" s="19">
        <f>SUMIFS('Fluxo de Caixa'!J:J,'Fluxo de Caixa'!B:B,"Entradas",'Fluxo de Caixa'!H:H,"Pago",'Fluxo de Caixa'!A:A,"&gt;="&amp;Resumo!A48,'Fluxo de Caixa'!A:A,"&lt;="&amp;EOMONTH(Resumo!A48,0))</f>
        <v>0</v>
      </c>
      <c r="C48" s="19">
        <f>-SUMIFS('Fluxo de Caixa'!J:J,'Fluxo de Caixa'!B:B,"Saídas",'Fluxo de Caixa'!H:H,"Pago",'Fluxo de Caixa'!A:A,"&gt;="&amp;Resumo!A48,'Fluxo de Caixa'!A:A,"&lt;="&amp;EOMONTH(Resumo!A48,0))</f>
        <v>0</v>
      </c>
      <c r="D48" s="19">
        <f t="shared" si="0"/>
        <v>0</v>
      </c>
      <c r="E48" s="19">
        <f t="shared" si="2"/>
        <v>149349</v>
      </c>
      <c r="F48" s="9"/>
      <c r="I48" s="15"/>
      <c r="Q48" s="3"/>
      <c r="R48" s="16"/>
    </row>
    <row r="49" spans="1:18" ht="15.75" customHeight="1" x14ac:dyDescent="0.25">
      <c r="A49" s="18">
        <f t="shared" si="1"/>
        <v>44348</v>
      </c>
      <c r="B49" s="19">
        <f>SUMIFS('Fluxo de Caixa'!J:J,'Fluxo de Caixa'!B:B,"Entradas",'Fluxo de Caixa'!H:H,"Pago",'Fluxo de Caixa'!A:A,"&gt;="&amp;Resumo!A49,'Fluxo de Caixa'!A:A,"&lt;="&amp;EOMONTH(Resumo!A49,0))</f>
        <v>0</v>
      </c>
      <c r="C49" s="19">
        <f>-SUMIFS('Fluxo de Caixa'!J:J,'Fluxo de Caixa'!B:B,"Saídas",'Fluxo de Caixa'!H:H,"Pago",'Fluxo de Caixa'!A:A,"&gt;="&amp;Resumo!A49,'Fluxo de Caixa'!A:A,"&lt;="&amp;EOMONTH(Resumo!A49,0))</f>
        <v>0</v>
      </c>
      <c r="D49" s="19">
        <f t="shared" si="0"/>
        <v>0</v>
      </c>
      <c r="E49" s="19">
        <f t="shared" si="2"/>
        <v>149349</v>
      </c>
      <c r="F49" s="9"/>
      <c r="I49" s="15"/>
      <c r="Q49" s="3"/>
      <c r="R49" s="16"/>
    </row>
    <row r="50" spans="1:18" ht="15.75" customHeight="1" x14ac:dyDescent="0.25">
      <c r="A50" s="18">
        <f t="shared" si="1"/>
        <v>44378</v>
      </c>
      <c r="B50" s="19">
        <f>SUMIFS('Fluxo de Caixa'!J:J,'Fluxo de Caixa'!B:B,"Entradas",'Fluxo de Caixa'!H:H,"Pago",'Fluxo de Caixa'!A:A,"&gt;="&amp;Resumo!A50,'Fluxo de Caixa'!A:A,"&lt;="&amp;EOMONTH(Resumo!A50,0))</f>
        <v>0</v>
      </c>
      <c r="C50" s="19">
        <f>-SUMIFS('Fluxo de Caixa'!J:J,'Fluxo de Caixa'!B:B,"Saídas",'Fluxo de Caixa'!H:H,"Pago",'Fluxo de Caixa'!A:A,"&gt;="&amp;Resumo!A50,'Fluxo de Caixa'!A:A,"&lt;="&amp;EOMONTH(Resumo!A50,0))</f>
        <v>0</v>
      </c>
      <c r="D50" s="19">
        <f t="shared" si="0"/>
        <v>0</v>
      </c>
      <c r="E50" s="19">
        <f t="shared" si="2"/>
        <v>149349</v>
      </c>
      <c r="F50" s="9"/>
      <c r="I50" s="15"/>
      <c r="M50" s="3"/>
      <c r="Q50" s="3"/>
      <c r="R50" s="16"/>
    </row>
    <row r="51" spans="1:18" ht="15.75" customHeight="1" x14ac:dyDescent="0.25">
      <c r="A51" s="18">
        <f t="shared" si="1"/>
        <v>44409</v>
      </c>
      <c r="B51" s="19">
        <f>SUMIFS('Fluxo de Caixa'!J:J,'Fluxo de Caixa'!B:B,"Entradas",'Fluxo de Caixa'!H:H,"Pago",'Fluxo de Caixa'!A:A,"&gt;="&amp;Resumo!A51,'Fluxo de Caixa'!A:A,"&lt;="&amp;EOMONTH(Resumo!A51,0))</f>
        <v>0</v>
      </c>
      <c r="C51" s="19">
        <f>-SUMIFS('Fluxo de Caixa'!J:J,'Fluxo de Caixa'!B:B,"Saídas",'Fluxo de Caixa'!H:H,"Pago",'Fluxo de Caixa'!A:A,"&gt;="&amp;Resumo!A51,'Fluxo de Caixa'!A:A,"&lt;="&amp;EOMONTH(Resumo!A51,0))</f>
        <v>0</v>
      </c>
      <c r="D51" s="19">
        <f t="shared" si="0"/>
        <v>0</v>
      </c>
      <c r="E51" s="19">
        <f t="shared" si="2"/>
        <v>149349</v>
      </c>
      <c r="F51" s="9"/>
      <c r="I51" s="15"/>
      <c r="Q51" s="3"/>
      <c r="R51" s="16"/>
    </row>
    <row r="52" spans="1:18" ht="15.75" customHeight="1" x14ac:dyDescent="0.25">
      <c r="A52" s="18">
        <f t="shared" si="1"/>
        <v>44440</v>
      </c>
      <c r="B52" s="19">
        <f>SUMIFS('Fluxo de Caixa'!J:J,'Fluxo de Caixa'!B:B,"Entradas",'Fluxo de Caixa'!H:H,"Pago",'Fluxo de Caixa'!A:A,"&gt;="&amp;Resumo!A52,'Fluxo de Caixa'!A:A,"&lt;="&amp;EOMONTH(Resumo!A52,0))</f>
        <v>0</v>
      </c>
      <c r="C52" s="19">
        <f>-SUMIFS('Fluxo de Caixa'!J:J,'Fluxo de Caixa'!B:B,"Saídas",'Fluxo de Caixa'!H:H,"Pago",'Fluxo de Caixa'!A:A,"&gt;="&amp;Resumo!A52,'Fluxo de Caixa'!A:A,"&lt;="&amp;EOMONTH(Resumo!A52,0))</f>
        <v>0</v>
      </c>
      <c r="D52" s="19">
        <f t="shared" si="0"/>
        <v>0</v>
      </c>
      <c r="E52" s="19">
        <f t="shared" si="2"/>
        <v>149349</v>
      </c>
      <c r="F52" s="9"/>
      <c r="I52" s="15"/>
      <c r="Q52" s="3"/>
      <c r="R52" s="16"/>
    </row>
    <row r="53" spans="1:18" ht="15.75" customHeight="1" x14ac:dyDescent="0.25">
      <c r="A53" s="18">
        <f t="shared" si="1"/>
        <v>44470</v>
      </c>
      <c r="B53" s="19">
        <f>SUMIFS('Fluxo de Caixa'!J:J,'Fluxo de Caixa'!B:B,"Entradas",'Fluxo de Caixa'!H:H,"Pago",'Fluxo de Caixa'!A:A,"&gt;="&amp;Resumo!A53,'Fluxo de Caixa'!A:A,"&lt;="&amp;EOMONTH(Resumo!A53,0))</f>
        <v>0</v>
      </c>
      <c r="C53" s="19">
        <f>-SUMIFS('Fluxo de Caixa'!J:J,'Fluxo de Caixa'!B:B,"Saídas",'Fluxo de Caixa'!H:H,"Pago",'Fluxo de Caixa'!A:A,"&gt;="&amp;Resumo!A53,'Fluxo de Caixa'!A:A,"&lt;="&amp;EOMONTH(Resumo!A53,0))</f>
        <v>0</v>
      </c>
      <c r="D53" s="19">
        <f t="shared" si="0"/>
        <v>0</v>
      </c>
      <c r="E53" s="19">
        <f t="shared" si="2"/>
        <v>149349</v>
      </c>
      <c r="F53" s="9"/>
      <c r="I53" s="15"/>
      <c r="Q53" s="3"/>
      <c r="R53" s="16"/>
    </row>
    <row r="54" spans="1:18" ht="15.75" customHeight="1" x14ac:dyDescent="0.25">
      <c r="A54" s="18">
        <f t="shared" si="1"/>
        <v>44501</v>
      </c>
      <c r="B54" s="19">
        <f>SUMIFS('Fluxo de Caixa'!J:J,'Fluxo de Caixa'!B:B,"Entradas",'Fluxo de Caixa'!H:H,"Pago",'Fluxo de Caixa'!A:A,"&gt;="&amp;Resumo!A54,'Fluxo de Caixa'!A:A,"&lt;="&amp;EOMONTH(Resumo!A54,0))</f>
        <v>0</v>
      </c>
      <c r="C54" s="19">
        <f>-SUMIFS('Fluxo de Caixa'!J:J,'Fluxo de Caixa'!B:B,"Saídas",'Fluxo de Caixa'!H:H,"Pago",'Fluxo de Caixa'!A:A,"&gt;="&amp;Resumo!A54,'Fluxo de Caixa'!A:A,"&lt;="&amp;EOMONTH(Resumo!A54,0))</f>
        <v>0</v>
      </c>
      <c r="D54" s="19">
        <f t="shared" si="0"/>
        <v>0</v>
      </c>
      <c r="E54" s="19">
        <f t="shared" si="2"/>
        <v>149349</v>
      </c>
      <c r="F54" s="9"/>
      <c r="I54" s="15"/>
      <c r="Q54" s="3"/>
      <c r="R54" s="16"/>
    </row>
    <row r="55" spans="1:18" ht="15.75" customHeight="1" x14ac:dyDescent="0.25">
      <c r="A55" s="18">
        <f t="shared" si="1"/>
        <v>44531</v>
      </c>
      <c r="B55" s="19">
        <f>SUMIFS('Fluxo de Caixa'!J:J,'Fluxo de Caixa'!B:B,"Entradas",'Fluxo de Caixa'!H:H,"Pago",'Fluxo de Caixa'!A:A,"&gt;="&amp;Resumo!A55,'Fluxo de Caixa'!A:A,"&lt;="&amp;EOMONTH(Resumo!A55,0))</f>
        <v>0</v>
      </c>
      <c r="C55" s="19">
        <f>-SUMIFS('Fluxo de Caixa'!J:J,'Fluxo de Caixa'!B:B,"Saídas",'Fluxo de Caixa'!H:H,"Pago",'Fluxo de Caixa'!A:A,"&gt;="&amp;Resumo!A55,'Fluxo de Caixa'!A:A,"&lt;="&amp;EOMONTH(Resumo!A55,0))</f>
        <v>0</v>
      </c>
      <c r="D55" s="19">
        <f t="shared" si="0"/>
        <v>0</v>
      </c>
      <c r="E55" s="19">
        <f t="shared" si="2"/>
        <v>149349</v>
      </c>
      <c r="F55" s="9"/>
      <c r="I55" s="15"/>
      <c r="Q55" s="3"/>
      <c r="R55" s="16"/>
    </row>
    <row r="56" spans="1:18" ht="15.75" customHeight="1" x14ac:dyDescent="0.25">
      <c r="A56" s="18">
        <f t="shared" si="1"/>
        <v>44562</v>
      </c>
      <c r="B56" s="19">
        <f>SUMIFS('Fluxo de Caixa'!J:J,'Fluxo de Caixa'!B:B,"Entradas",'Fluxo de Caixa'!H:H,"Pago",'Fluxo de Caixa'!A:A,"&gt;="&amp;Resumo!A56,'Fluxo de Caixa'!A:A,"&lt;="&amp;EOMONTH(Resumo!A56,0))</f>
        <v>0</v>
      </c>
      <c r="C56" s="19">
        <f>-SUMIFS('Fluxo de Caixa'!J:J,'Fluxo de Caixa'!B:B,"Saídas",'Fluxo de Caixa'!H:H,"Pago",'Fluxo de Caixa'!A:A,"&gt;="&amp;Resumo!A56,'Fluxo de Caixa'!A:A,"&lt;="&amp;EOMONTH(Resumo!A56,0))</f>
        <v>0</v>
      </c>
      <c r="D56" s="19">
        <f t="shared" si="0"/>
        <v>0</v>
      </c>
      <c r="E56" s="19">
        <f t="shared" si="2"/>
        <v>149349</v>
      </c>
      <c r="F56" s="9"/>
      <c r="I56" s="15"/>
      <c r="Q56" s="3"/>
      <c r="R56" s="16"/>
    </row>
    <row r="57" spans="1:18" ht="15.75" customHeight="1" x14ac:dyDescent="0.25">
      <c r="A57" s="18">
        <f t="shared" si="1"/>
        <v>44593</v>
      </c>
      <c r="B57" s="19">
        <f>SUMIFS('Fluxo de Caixa'!J:J,'Fluxo de Caixa'!B:B,"Entradas",'Fluxo de Caixa'!H:H,"Pago",'Fluxo de Caixa'!A:A,"&gt;="&amp;Resumo!A57,'Fluxo de Caixa'!A:A,"&lt;="&amp;EOMONTH(Resumo!A57,0))</f>
        <v>0</v>
      </c>
      <c r="C57" s="19">
        <f>-SUMIFS('Fluxo de Caixa'!J:J,'Fluxo de Caixa'!B:B,"Saídas",'Fluxo de Caixa'!H:H,"Pago",'Fluxo de Caixa'!A:A,"&gt;="&amp;Resumo!A57,'Fluxo de Caixa'!A:A,"&lt;="&amp;EOMONTH(Resumo!A57,0))</f>
        <v>0</v>
      </c>
      <c r="D57" s="19">
        <f t="shared" si="0"/>
        <v>0</v>
      </c>
      <c r="E57" s="19">
        <f t="shared" si="2"/>
        <v>149349</v>
      </c>
      <c r="F57" s="9"/>
      <c r="I57" s="15"/>
      <c r="Q57" s="3"/>
      <c r="R57" s="16"/>
    </row>
    <row r="58" spans="1:18" ht="15.75" customHeight="1" x14ac:dyDescent="0.25">
      <c r="A58" s="18">
        <f t="shared" si="1"/>
        <v>44621</v>
      </c>
      <c r="B58" s="19">
        <f>SUMIFS('Fluxo de Caixa'!J:J,'Fluxo de Caixa'!B:B,"Entradas",'Fluxo de Caixa'!H:H,"Pago",'Fluxo de Caixa'!A:A,"&gt;="&amp;Resumo!A58,'Fluxo de Caixa'!A:A,"&lt;="&amp;EOMONTH(Resumo!A58,0))</f>
        <v>0</v>
      </c>
      <c r="C58" s="19">
        <f>-SUMIFS('Fluxo de Caixa'!J:J,'Fluxo de Caixa'!B:B,"Saídas",'Fluxo de Caixa'!H:H,"Pago",'Fluxo de Caixa'!A:A,"&gt;="&amp;Resumo!A58,'Fluxo de Caixa'!A:A,"&lt;="&amp;EOMONTH(Resumo!A58,0))</f>
        <v>0</v>
      </c>
      <c r="D58" s="19">
        <f t="shared" si="0"/>
        <v>0</v>
      </c>
      <c r="E58" s="19">
        <f t="shared" si="2"/>
        <v>149349</v>
      </c>
      <c r="F58" s="9"/>
      <c r="I58" s="15"/>
      <c r="Q58" s="3"/>
      <c r="R58" s="16"/>
    </row>
    <row r="59" spans="1:18" ht="15.75" customHeight="1" x14ac:dyDescent="0.25">
      <c r="A59" s="18">
        <f t="shared" si="1"/>
        <v>44652</v>
      </c>
      <c r="B59" s="19">
        <f>SUMIFS('Fluxo de Caixa'!J:J,'Fluxo de Caixa'!B:B,"Entradas",'Fluxo de Caixa'!H:H,"Pago",'Fluxo de Caixa'!A:A,"&gt;="&amp;Resumo!A59,'Fluxo de Caixa'!A:A,"&lt;="&amp;EOMONTH(Resumo!A59,0))</f>
        <v>0</v>
      </c>
      <c r="C59" s="19">
        <f>-SUMIFS('Fluxo de Caixa'!J:J,'Fluxo de Caixa'!B:B,"Saídas",'Fluxo de Caixa'!H:H,"Pago",'Fluxo de Caixa'!A:A,"&gt;="&amp;Resumo!A59,'Fluxo de Caixa'!A:A,"&lt;="&amp;EOMONTH(Resumo!A59,0))</f>
        <v>0</v>
      </c>
      <c r="D59" s="19">
        <f t="shared" si="0"/>
        <v>0</v>
      </c>
      <c r="E59" s="19">
        <f t="shared" si="2"/>
        <v>149349</v>
      </c>
      <c r="F59" s="9"/>
      <c r="I59" s="15"/>
      <c r="Q59" s="3"/>
      <c r="R59" s="16"/>
    </row>
    <row r="60" spans="1:18" ht="15.75" customHeight="1" x14ac:dyDescent="0.25">
      <c r="A60" s="18">
        <f t="shared" si="1"/>
        <v>44682</v>
      </c>
      <c r="B60" s="19">
        <f>SUMIFS('Fluxo de Caixa'!J:J,'Fluxo de Caixa'!B:B,"Entradas",'Fluxo de Caixa'!H:H,"Pago",'Fluxo de Caixa'!A:A,"&gt;="&amp;Resumo!A60,'Fluxo de Caixa'!A:A,"&lt;="&amp;EOMONTH(Resumo!A60,0))</f>
        <v>0</v>
      </c>
      <c r="C60" s="19">
        <f>-SUMIFS('Fluxo de Caixa'!J:J,'Fluxo de Caixa'!B:B,"Saídas",'Fluxo de Caixa'!H:H,"Pago",'Fluxo de Caixa'!A:A,"&gt;="&amp;Resumo!A60,'Fluxo de Caixa'!A:A,"&lt;="&amp;EOMONTH(Resumo!A60,0))</f>
        <v>0</v>
      </c>
      <c r="D60" s="19">
        <f t="shared" si="0"/>
        <v>0</v>
      </c>
      <c r="E60" s="19">
        <f t="shared" si="2"/>
        <v>149349</v>
      </c>
      <c r="F60" s="9"/>
      <c r="I60" s="15"/>
      <c r="Q60" s="3"/>
      <c r="R60" s="16"/>
    </row>
    <row r="61" spans="1:18" ht="15.75" customHeight="1" x14ac:dyDescent="0.25">
      <c r="A61" s="18">
        <f t="shared" si="1"/>
        <v>44713</v>
      </c>
      <c r="B61" s="19">
        <f>SUMIFS('Fluxo de Caixa'!J:J,'Fluxo de Caixa'!B:B,"Entradas",'Fluxo de Caixa'!H:H,"Pago",'Fluxo de Caixa'!A:A,"&gt;="&amp;Resumo!A61,'Fluxo de Caixa'!A:A,"&lt;="&amp;EOMONTH(Resumo!A61,0))</f>
        <v>0</v>
      </c>
      <c r="C61" s="19">
        <f>-SUMIFS('Fluxo de Caixa'!J:J,'Fluxo de Caixa'!B:B,"Saídas",'Fluxo de Caixa'!H:H,"Pago",'Fluxo de Caixa'!A:A,"&gt;="&amp;Resumo!A61,'Fluxo de Caixa'!A:A,"&lt;="&amp;EOMONTH(Resumo!A61,0))</f>
        <v>0</v>
      </c>
      <c r="D61" s="19">
        <f t="shared" si="0"/>
        <v>0</v>
      </c>
      <c r="E61" s="19">
        <f t="shared" si="2"/>
        <v>149349</v>
      </c>
      <c r="F61" s="9"/>
      <c r="I61" s="15"/>
      <c r="Q61" s="3"/>
      <c r="R61" s="16"/>
    </row>
    <row r="62" spans="1:18" ht="15.75" customHeight="1" x14ac:dyDescent="0.25">
      <c r="A62" s="18">
        <f t="shared" si="1"/>
        <v>44743</v>
      </c>
      <c r="B62" s="19">
        <f>SUMIFS('Fluxo de Caixa'!J:J,'Fluxo de Caixa'!B:B,"Entradas",'Fluxo de Caixa'!H:H,"Pago",'Fluxo de Caixa'!A:A,"&gt;="&amp;Resumo!A62,'Fluxo de Caixa'!A:A,"&lt;="&amp;EOMONTH(Resumo!A62,0))</f>
        <v>0</v>
      </c>
      <c r="C62" s="19">
        <f>-SUMIFS('Fluxo de Caixa'!J:J,'Fluxo de Caixa'!B:B,"Saídas",'Fluxo de Caixa'!H:H,"Pago",'Fluxo de Caixa'!A:A,"&gt;="&amp;Resumo!A62,'Fluxo de Caixa'!A:A,"&lt;="&amp;EOMONTH(Resumo!A62,0))</f>
        <v>0</v>
      </c>
      <c r="D62" s="19">
        <f t="shared" si="0"/>
        <v>0</v>
      </c>
      <c r="E62" s="19">
        <f t="shared" si="2"/>
        <v>149349</v>
      </c>
      <c r="F62" s="9"/>
      <c r="I62" s="15"/>
      <c r="Q62" s="3"/>
      <c r="R62" s="16"/>
    </row>
    <row r="63" spans="1:18" ht="15.75" customHeight="1" x14ac:dyDescent="0.25">
      <c r="A63" s="18">
        <f t="shared" si="1"/>
        <v>44774</v>
      </c>
      <c r="B63" s="19">
        <f>SUMIFS('Fluxo de Caixa'!J:J,'Fluxo de Caixa'!B:B,"Entradas",'Fluxo de Caixa'!H:H,"Pago",'Fluxo de Caixa'!A:A,"&gt;="&amp;Resumo!A63,'Fluxo de Caixa'!A:A,"&lt;="&amp;EOMONTH(Resumo!A63,0))</f>
        <v>0</v>
      </c>
      <c r="C63" s="19">
        <f>-SUMIFS('Fluxo de Caixa'!J:J,'Fluxo de Caixa'!B:B,"Saídas",'Fluxo de Caixa'!H:H,"Pago",'Fluxo de Caixa'!A:A,"&gt;="&amp;Resumo!A63,'Fluxo de Caixa'!A:A,"&lt;="&amp;EOMONTH(Resumo!A63,0))</f>
        <v>0</v>
      </c>
      <c r="D63" s="19">
        <f t="shared" si="0"/>
        <v>0</v>
      </c>
      <c r="E63" s="19">
        <f t="shared" si="2"/>
        <v>149349</v>
      </c>
      <c r="F63" s="9"/>
      <c r="Q63" s="3"/>
      <c r="R63" s="16"/>
    </row>
    <row r="64" spans="1:18" ht="15.75" customHeight="1" x14ac:dyDescent="0.25">
      <c r="A64" s="18">
        <f t="shared" si="1"/>
        <v>44805</v>
      </c>
      <c r="B64" s="19">
        <f>SUMIFS('Fluxo de Caixa'!J:J,'Fluxo de Caixa'!B:B,"Entradas",'Fluxo de Caixa'!H:H,"Pago",'Fluxo de Caixa'!A:A,"&gt;="&amp;Resumo!A64,'Fluxo de Caixa'!A:A,"&lt;="&amp;EOMONTH(Resumo!A64,0))</f>
        <v>0</v>
      </c>
      <c r="C64" s="19">
        <f>-SUMIFS('Fluxo de Caixa'!J:J,'Fluxo de Caixa'!B:B,"Saídas",'Fluxo de Caixa'!H:H,"Pago",'Fluxo de Caixa'!A:A,"&gt;="&amp;Resumo!A64,'Fluxo de Caixa'!A:A,"&lt;="&amp;EOMONTH(Resumo!A64,0))</f>
        <v>0</v>
      </c>
      <c r="D64" s="19">
        <f t="shared" si="0"/>
        <v>0</v>
      </c>
      <c r="E64" s="19">
        <f t="shared" si="2"/>
        <v>149349</v>
      </c>
      <c r="F64" s="9"/>
      <c r="Q64" s="3"/>
      <c r="R64" s="16"/>
    </row>
    <row r="65" spans="1:18" ht="15.75" customHeight="1" x14ac:dyDescent="0.25">
      <c r="A65" s="18">
        <f t="shared" si="1"/>
        <v>44835</v>
      </c>
      <c r="B65" s="19">
        <f>SUMIFS('Fluxo de Caixa'!J:J,'Fluxo de Caixa'!B:B,"Entradas",'Fluxo de Caixa'!H:H,"Pago",'Fluxo de Caixa'!A:A,"&gt;="&amp;Resumo!A65,'Fluxo de Caixa'!A:A,"&lt;="&amp;EOMONTH(Resumo!A65,0))</f>
        <v>0</v>
      </c>
      <c r="C65" s="19">
        <f>-SUMIFS('Fluxo de Caixa'!J:J,'Fluxo de Caixa'!B:B,"Saídas",'Fluxo de Caixa'!H:H,"Pago",'Fluxo de Caixa'!A:A,"&gt;="&amp;Resumo!A65,'Fluxo de Caixa'!A:A,"&lt;="&amp;EOMONTH(Resumo!A65,0))</f>
        <v>0</v>
      </c>
      <c r="D65" s="19">
        <f t="shared" si="0"/>
        <v>0</v>
      </c>
      <c r="E65" s="19">
        <f t="shared" si="2"/>
        <v>149349</v>
      </c>
      <c r="F65" s="9"/>
      <c r="Q65" s="3"/>
      <c r="R65" s="16"/>
    </row>
    <row r="66" spans="1:18" ht="15.75" customHeight="1" x14ac:dyDescent="0.25">
      <c r="A66" s="18">
        <f t="shared" si="1"/>
        <v>44866</v>
      </c>
      <c r="B66" s="19">
        <f>SUMIFS('Fluxo de Caixa'!J:J,'Fluxo de Caixa'!B:B,"Entradas",'Fluxo de Caixa'!H:H,"Pago",'Fluxo de Caixa'!A:A,"&gt;="&amp;Resumo!A66,'Fluxo de Caixa'!A:A,"&lt;="&amp;EOMONTH(Resumo!A66,0))</f>
        <v>0</v>
      </c>
      <c r="C66" s="19">
        <f>-SUMIFS('Fluxo de Caixa'!J:J,'Fluxo de Caixa'!B:B,"Saídas",'Fluxo de Caixa'!H:H,"Pago",'Fluxo de Caixa'!A:A,"&gt;="&amp;Resumo!A66,'Fluxo de Caixa'!A:A,"&lt;="&amp;EOMONTH(Resumo!A66,0))</f>
        <v>0</v>
      </c>
      <c r="D66" s="19">
        <f t="shared" si="0"/>
        <v>0</v>
      </c>
      <c r="E66" s="19">
        <f t="shared" si="2"/>
        <v>149349</v>
      </c>
      <c r="F66" s="9"/>
      <c r="Q66" s="3"/>
      <c r="R66" s="16"/>
    </row>
    <row r="67" spans="1:18" ht="15.75" customHeight="1" x14ac:dyDescent="0.25">
      <c r="A67" s="18">
        <f t="shared" si="1"/>
        <v>44896</v>
      </c>
      <c r="B67" s="19">
        <f>SUMIFS('Fluxo de Caixa'!J:J,'Fluxo de Caixa'!B:B,"Entradas",'Fluxo de Caixa'!H:H,"Pago",'Fluxo de Caixa'!A:A,"&gt;="&amp;Resumo!A67,'Fluxo de Caixa'!A:A,"&lt;="&amp;EOMONTH(Resumo!A67,0))</f>
        <v>0</v>
      </c>
      <c r="C67" s="19">
        <f>-SUMIFS('Fluxo de Caixa'!J:J,'Fluxo de Caixa'!B:B,"Saídas",'Fluxo de Caixa'!H:H,"Pago",'Fluxo de Caixa'!A:A,"&gt;="&amp;Resumo!A67,'Fluxo de Caixa'!A:A,"&lt;="&amp;EOMONTH(Resumo!A67,0))</f>
        <v>0</v>
      </c>
      <c r="D67" s="19">
        <f t="shared" si="0"/>
        <v>0</v>
      </c>
      <c r="E67" s="19">
        <f t="shared" si="2"/>
        <v>149349</v>
      </c>
      <c r="F67" s="9"/>
      <c r="Q67" s="3"/>
      <c r="R67" s="16"/>
    </row>
    <row r="68" spans="1:18" ht="15.75" customHeight="1" x14ac:dyDescent="0.25">
      <c r="A68" s="18">
        <f t="shared" si="1"/>
        <v>44927</v>
      </c>
      <c r="B68" s="19">
        <f>SUMIFS('Fluxo de Caixa'!J:J,'Fluxo de Caixa'!B:B,"Entradas",'Fluxo de Caixa'!H:H,"Pago",'Fluxo de Caixa'!A:A,"&gt;="&amp;Resumo!A68,'Fluxo de Caixa'!A:A,"&lt;="&amp;EOMONTH(Resumo!A68,0))</f>
        <v>0</v>
      </c>
      <c r="C68" s="19">
        <f>-SUMIFS('Fluxo de Caixa'!J:J,'Fluxo de Caixa'!B:B,"Saídas",'Fluxo de Caixa'!H:H,"Pago",'Fluxo de Caixa'!A:A,"&gt;="&amp;Resumo!A68,'Fluxo de Caixa'!A:A,"&lt;="&amp;EOMONTH(Resumo!A68,0))</f>
        <v>0</v>
      </c>
      <c r="D68" s="19">
        <f t="shared" si="0"/>
        <v>0</v>
      </c>
      <c r="E68" s="19">
        <f t="shared" si="2"/>
        <v>149349</v>
      </c>
      <c r="F68" s="9"/>
      <c r="Q68" s="3"/>
      <c r="R68" s="16"/>
    </row>
    <row r="69" spans="1:18" ht="15.75" customHeight="1" x14ac:dyDescent="0.25">
      <c r="A69" s="20">
        <f t="shared" si="1"/>
        <v>44958</v>
      </c>
      <c r="B69" s="21">
        <f>SUMIFS('Fluxo de Caixa'!J:J,'Fluxo de Caixa'!B:B,"Entradas",'Fluxo de Caixa'!H:H,"Pago",'Fluxo de Caixa'!A:A,"&gt;="&amp;Resumo!A69,'Fluxo de Caixa'!A:A,"&lt;="&amp;EOMONTH(Resumo!A69,0))</f>
        <v>0</v>
      </c>
      <c r="C69" s="21">
        <f>-SUMIFS('Fluxo de Caixa'!J:J,'Fluxo de Caixa'!B:B,"Saídas",'Fluxo de Caixa'!H:H,"Pago",'Fluxo de Caixa'!A:A,"&gt;="&amp;Resumo!A69,'Fluxo de Caixa'!A:A,"&lt;="&amp;EOMONTH(Resumo!A69,0))</f>
        <v>0</v>
      </c>
      <c r="D69" s="21">
        <f t="shared" si="0"/>
        <v>0</v>
      </c>
      <c r="E69" s="21">
        <f t="shared" si="2"/>
        <v>149349</v>
      </c>
      <c r="F69" s="9"/>
      <c r="Q69" s="3"/>
      <c r="R69" s="16"/>
    </row>
    <row r="70" spans="1:18" ht="15.75" customHeight="1" x14ac:dyDescent="0.25">
      <c r="A70" s="20">
        <f t="shared" si="1"/>
        <v>44986</v>
      </c>
      <c r="B70" s="21">
        <f>SUMIFS('Fluxo de Caixa'!J:J,'Fluxo de Caixa'!B:B,"Entradas",'Fluxo de Caixa'!H:H,"Pago",'Fluxo de Caixa'!A:A,"&gt;="&amp;Resumo!A70,'Fluxo de Caixa'!A:A,"&lt;="&amp;EOMONTH(Resumo!A70,0))</f>
        <v>0</v>
      </c>
      <c r="C70" s="21">
        <f>-SUMIFS('Fluxo de Caixa'!J:J,'Fluxo de Caixa'!B:B,"Saídas",'Fluxo de Caixa'!H:H,"Pago",'Fluxo de Caixa'!A:A,"&gt;="&amp;Resumo!A70,'Fluxo de Caixa'!A:A,"&lt;="&amp;EOMONTH(Resumo!A70,0))</f>
        <v>0</v>
      </c>
      <c r="D70" s="21">
        <f t="shared" si="0"/>
        <v>0</v>
      </c>
      <c r="E70" s="21">
        <f t="shared" si="2"/>
        <v>149349</v>
      </c>
      <c r="F70" s="9"/>
      <c r="Q70" s="3"/>
      <c r="R70" s="16"/>
    </row>
    <row r="71" spans="1:18" ht="15.75" customHeight="1" x14ac:dyDescent="0.25">
      <c r="A71" s="20">
        <f t="shared" si="1"/>
        <v>45017</v>
      </c>
      <c r="B71" s="21">
        <f>SUMIFS('Fluxo de Caixa'!J:J,'Fluxo de Caixa'!B:B,"Entradas",'Fluxo de Caixa'!H:H,"Pago",'Fluxo de Caixa'!A:A,"&gt;="&amp;Resumo!A71,'Fluxo de Caixa'!A:A,"&lt;="&amp;EOMONTH(Resumo!A71,0))</f>
        <v>0</v>
      </c>
      <c r="C71" s="21">
        <f>-SUMIFS('Fluxo de Caixa'!J:J,'Fluxo de Caixa'!B:B,"Saídas",'Fluxo de Caixa'!H:H,"Pago",'Fluxo de Caixa'!A:A,"&gt;="&amp;Resumo!A71,'Fluxo de Caixa'!A:A,"&lt;="&amp;EOMONTH(Resumo!A71,0))</f>
        <v>0</v>
      </c>
      <c r="D71" s="21">
        <f t="shared" si="0"/>
        <v>0</v>
      </c>
      <c r="E71" s="21">
        <f t="shared" si="2"/>
        <v>149349</v>
      </c>
      <c r="F71" s="9"/>
      <c r="Q71" s="3"/>
      <c r="R71" s="16"/>
    </row>
    <row r="72" spans="1:18" ht="15.75" customHeight="1" x14ac:dyDescent="0.25">
      <c r="A72" s="20">
        <f t="shared" si="1"/>
        <v>45047</v>
      </c>
      <c r="B72" s="21">
        <f>SUMIFS('Fluxo de Caixa'!J:J,'Fluxo de Caixa'!B:B,"Entradas",'Fluxo de Caixa'!H:H,"Pago",'Fluxo de Caixa'!A:A,"&gt;="&amp;Resumo!A72,'Fluxo de Caixa'!A:A,"&lt;="&amp;EOMONTH(Resumo!A72,0))</f>
        <v>0</v>
      </c>
      <c r="C72" s="21">
        <f>-SUMIFS('Fluxo de Caixa'!J:J,'Fluxo de Caixa'!B:B,"Saídas",'Fluxo de Caixa'!H:H,"Pago",'Fluxo de Caixa'!A:A,"&gt;="&amp;Resumo!A72,'Fluxo de Caixa'!A:A,"&lt;="&amp;EOMONTH(Resumo!A72,0))</f>
        <v>0</v>
      </c>
      <c r="D72" s="21">
        <f t="shared" si="0"/>
        <v>0</v>
      </c>
      <c r="E72" s="21">
        <f t="shared" si="2"/>
        <v>149349</v>
      </c>
      <c r="F72" s="9"/>
      <c r="Q72" s="3"/>
      <c r="R72" s="16"/>
    </row>
    <row r="73" spans="1:18" ht="15.75" customHeight="1" x14ac:dyDescent="0.25">
      <c r="A73" s="20">
        <f t="shared" si="1"/>
        <v>45078</v>
      </c>
      <c r="B73" s="21">
        <f>SUMIFS('Fluxo de Caixa'!J:J,'Fluxo de Caixa'!B:B,"Entradas",'Fluxo de Caixa'!H:H,"Pago",'Fluxo de Caixa'!A:A,"&gt;="&amp;Resumo!A73,'Fluxo de Caixa'!A:A,"&lt;="&amp;EOMONTH(Resumo!A73,0))</f>
        <v>0</v>
      </c>
      <c r="C73" s="21">
        <f>-SUMIFS('Fluxo de Caixa'!J:J,'Fluxo de Caixa'!B:B,"Saídas",'Fluxo de Caixa'!H:H,"Pago",'Fluxo de Caixa'!A:A,"&gt;="&amp;Resumo!A73,'Fluxo de Caixa'!A:A,"&lt;="&amp;EOMONTH(Resumo!A73,0))</f>
        <v>0</v>
      </c>
      <c r="D73" s="21">
        <f t="shared" si="0"/>
        <v>0</v>
      </c>
      <c r="E73" s="21">
        <f t="shared" si="2"/>
        <v>149349</v>
      </c>
      <c r="F73" s="9"/>
      <c r="Q73" s="3"/>
      <c r="R73" s="16"/>
    </row>
    <row r="74" spans="1:18" ht="15.75" customHeight="1" x14ac:dyDescent="0.25">
      <c r="A74" s="20">
        <f t="shared" si="1"/>
        <v>45108</v>
      </c>
      <c r="B74" s="21">
        <f>SUMIFS('Fluxo de Caixa'!J:J,'Fluxo de Caixa'!B:B,"Entradas",'Fluxo de Caixa'!H:H,"Pago",'Fluxo de Caixa'!A:A,"&gt;="&amp;Resumo!A74,'Fluxo de Caixa'!A:A,"&lt;="&amp;EOMONTH(Resumo!A74,0))</f>
        <v>0</v>
      </c>
      <c r="C74" s="21">
        <f>-SUMIFS('Fluxo de Caixa'!J:J,'Fluxo de Caixa'!B:B,"Saídas",'Fluxo de Caixa'!H:H,"Pago",'Fluxo de Caixa'!A:A,"&gt;="&amp;Resumo!A74,'Fluxo de Caixa'!A:A,"&lt;="&amp;EOMONTH(Resumo!A74,0))</f>
        <v>0</v>
      </c>
      <c r="D74" s="21">
        <f t="shared" si="0"/>
        <v>0</v>
      </c>
      <c r="E74" s="21">
        <f t="shared" si="2"/>
        <v>149349</v>
      </c>
      <c r="F74" s="9"/>
      <c r="Q74" s="3"/>
      <c r="R74" s="16"/>
    </row>
    <row r="75" spans="1:18" ht="15.75" customHeight="1" x14ac:dyDescent="0.25">
      <c r="A75" s="20">
        <f t="shared" si="1"/>
        <v>45139</v>
      </c>
      <c r="B75" s="21">
        <f>SUMIFS('Fluxo de Caixa'!J:J,'Fluxo de Caixa'!B:B,"Entradas",'Fluxo de Caixa'!H:H,"Pago",'Fluxo de Caixa'!A:A,"&gt;="&amp;Resumo!A75,'Fluxo de Caixa'!A:A,"&lt;="&amp;EOMONTH(Resumo!A75,0))</f>
        <v>0</v>
      </c>
      <c r="C75" s="21">
        <f>-SUMIFS('Fluxo de Caixa'!J:J,'Fluxo de Caixa'!B:B,"Saídas",'Fluxo de Caixa'!H:H,"Pago",'Fluxo de Caixa'!A:A,"&gt;="&amp;Resumo!A75,'Fluxo de Caixa'!A:A,"&lt;="&amp;EOMONTH(Resumo!A75,0))</f>
        <v>0</v>
      </c>
      <c r="D75" s="21">
        <f t="shared" si="0"/>
        <v>0</v>
      </c>
      <c r="E75" s="21">
        <f t="shared" si="2"/>
        <v>149349</v>
      </c>
      <c r="F75" s="9"/>
      <c r="Q75" s="3"/>
      <c r="R75" s="16"/>
    </row>
    <row r="76" spans="1:18" ht="15.75" customHeight="1" x14ac:dyDescent="0.25">
      <c r="A76" s="20">
        <f t="shared" si="1"/>
        <v>45170</v>
      </c>
      <c r="B76" s="21">
        <f>SUMIFS('Fluxo de Caixa'!J:J,'Fluxo de Caixa'!B:B,"Entradas",'Fluxo de Caixa'!H:H,"Pago",'Fluxo de Caixa'!A:A,"&gt;="&amp;Resumo!A76,'Fluxo de Caixa'!A:A,"&lt;="&amp;EOMONTH(Resumo!A76,0))</f>
        <v>0</v>
      </c>
      <c r="C76" s="21">
        <f>-SUMIFS('Fluxo de Caixa'!J:J,'Fluxo de Caixa'!B:B,"Saídas",'Fluxo de Caixa'!H:H,"Pago",'Fluxo de Caixa'!A:A,"&gt;="&amp;Resumo!A76,'Fluxo de Caixa'!A:A,"&lt;="&amp;EOMONTH(Resumo!A76,0))</f>
        <v>0</v>
      </c>
      <c r="D76" s="21">
        <f t="shared" si="0"/>
        <v>0</v>
      </c>
      <c r="E76" s="21">
        <f t="shared" si="2"/>
        <v>149349</v>
      </c>
      <c r="F76" s="9"/>
      <c r="Q76" s="3"/>
      <c r="R76" s="16"/>
    </row>
    <row r="77" spans="1:18" ht="15.75" customHeight="1" x14ac:dyDescent="0.25">
      <c r="A77" s="20">
        <f t="shared" si="1"/>
        <v>45200</v>
      </c>
      <c r="B77" s="21">
        <f>SUMIFS('Fluxo de Caixa'!J:J,'Fluxo de Caixa'!B:B,"Entradas",'Fluxo de Caixa'!H:H,"Pago",'Fluxo de Caixa'!A:A,"&gt;="&amp;Resumo!A77,'Fluxo de Caixa'!A:A,"&lt;="&amp;EOMONTH(Resumo!A77,0))</f>
        <v>0</v>
      </c>
      <c r="C77" s="21">
        <f>-SUMIFS('Fluxo de Caixa'!J:J,'Fluxo de Caixa'!B:B,"Saídas",'Fluxo de Caixa'!H:H,"Pago",'Fluxo de Caixa'!A:A,"&gt;="&amp;Resumo!A77,'Fluxo de Caixa'!A:A,"&lt;="&amp;EOMONTH(Resumo!A77,0))</f>
        <v>0</v>
      </c>
      <c r="D77" s="21">
        <f t="shared" si="0"/>
        <v>0</v>
      </c>
      <c r="E77" s="21">
        <f t="shared" si="2"/>
        <v>149349</v>
      </c>
      <c r="F77" s="9"/>
      <c r="Q77" s="3"/>
      <c r="R77" s="16"/>
    </row>
    <row r="78" spans="1:18" ht="15.75" customHeight="1" x14ac:dyDescent="0.25">
      <c r="A78" s="20">
        <f t="shared" si="1"/>
        <v>45231</v>
      </c>
      <c r="B78" s="21">
        <f>SUMIFS('Fluxo de Caixa'!J:J,'Fluxo de Caixa'!B:B,"Entradas",'Fluxo de Caixa'!H:H,"Pago",'Fluxo de Caixa'!A:A,"&gt;="&amp;Resumo!A78,'Fluxo de Caixa'!A:A,"&lt;="&amp;EOMONTH(Resumo!A78,0))</f>
        <v>0</v>
      </c>
      <c r="C78" s="21">
        <f>-SUMIFS('Fluxo de Caixa'!J:J,'Fluxo de Caixa'!B:B,"Saídas",'Fluxo de Caixa'!H:H,"Pago",'Fluxo de Caixa'!A:A,"&gt;="&amp;Resumo!A78,'Fluxo de Caixa'!A:A,"&lt;="&amp;EOMONTH(Resumo!A78,0))</f>
        <v>0</v>
      </c>
      <c r="D78" s="21">
        <f t="shared" si="0"/>
        <v>0</v>
      </c>
      <c r="E78" s="21">
        <f t="shared" si="2"/>
        <v>149349</v>
      </c>
      <c r="F78" s="9"/>
      <c r="Q78" s="3"/>
      <c r="R78" s="16"/>
    </row>
    <row r="79" spans="1:18" ht="15.75" customHeight="1" x14ac:dyDescent="0.25">
      <c r="A79" s="20">
        <f t="shared" si="1"/>
        <v>45261</v>
      </c>
      <c r="B79" s="21">
        <f>SUMIFS('Fluxo de Caixa'!J:J,'Fluxo de Caixa'!B:B,"Entradas",'Fluxo de Caixa'!H:H,"Pago",'Fluxo de Caixa'!A:A,"&gt;="&amp;Resumo!A79,'Fluxo de Caixa'!A:A,"&lt;="&amp;EOMONTH(Resumo!A79,0))</f>
        <v>0</v>
      </c>
      <c r="C79" s="21">
        <f>-SUMIFS('Fluxo de Caixa'!J:J,'Fluxo de Caixa'!B:B,"Saídas",'Fluxo de Caixa'!H:H,"Pago",'Fluxo de Caixa'!A:A,"&gt;="&amp;Resumo!A79,'Fluxo de Caixa'!A:A,"&lt;="&amp;EOMONTH(Resumo!A79,0))</f>
        <v>0</v>
      </c>
      <c r="D79" s="21">
        <f t="shared" si="0"/>
        <v>0</v>
      </c>
      <c r="E79" s="21">
        <f t="shared" si="2"/>
        <v>149349</v>
      </c>
      <c r="F79" s="9"/>
      <c r="Q79" s="3"/>
      <c r="R79" s="16"/>
    </row>
    <row r="80" spans="1:18" ht="15.75" customHeight="1" x14ac:dyDescent="0.25">
      <c r="F80" s="9"/>
      <c r="Q80" s="3"/>
      <c r="R80" s="16"/>
    </row>
    <row r="81" spans="6:18" ht="15.75" customHeight="1" x14ac:dyDescent="0.25">
      <c r="F81" s="9"/>
      <c r="Q81" s="3"/>
      <c r="R81" s="16"/>
    </row>
    <row r="82" spans="6:18" ht="15.75" customHeight="1" x14ac:dyDescent="0.25">
      <c r="F82" s="9"/>
      <c r="Q82" s="3"/>
      <c r="R82" s="16"/>
    </row>
    <row r="83" spans="6:18" ht="15.75" customHeight="1" x14ac:dyDescent="0.25">
      <c r="F83" s="9"/>
      <c r="Q83" s="3"/>
      <c r="R83" s="16"/>
    </row>
    <row r="84" spans="6:18" ht="15.75" customHeight="1" x14ac:dyDescent="0.25">
      <c r="F84" s="9"/>
      <c r="Q84" s="3"/>
      <c r="R84" s="16"/>
    </row>
    <row r="85" spans="6:18" ht="15.75" customHeight="1" x14ac:dyDescent="0.25">
      <c r="F85" s="9"/>
      <c r="Q85" s="3"/>
      <c r="R85" s="16"/>
    </row>
    <row r="86" spans="6:18" ht="15.75" customHeight="1" x14ac:dyDescent="0.25">
      <c r="F86" s="9"/>
      <c r="Q86" s="3"/>
      <c r="R86" s="16"/>
    </row>
    <row r="87" spans="6:18" ht="15.75" customHeight="1" x14ac:dyDescent="0.25">
      <c r="F87" s="9"/>
      <c r="Q87" s="3"/>
      <c r="R87" s="16"/>
    </row>
    <row r="88" spans="6:18" ht="15.75" customHeight="1" x14ac:dyDescent="0.25">
      <c r="F88" s="9"/>
      <c r="Q88" s="3"/>
      <c r="R88" s="16"/>
    </row>
    <row r="89" spans="6:18" ht="15.75" customHeight="1" x14ac:dyDescent="0.25">
      <c r="F89" s="9"/>
      <c r="Q89" s="3"/>
      <c r="R89" s="16"/>
    </row>
    <row r="90" spans="6:18" ht="15.75" customHeight="1" x14ac:dyDescent="0.25">
      <c r="F90" s="9"/>
      <c r="Q90" s="3"/>
      <c r="R90" s="16"/>
    </row>
    <row r="91" spans="6:18" ht="15.75" customHeight="1" x14ac:dyDescent="0.25">
      <c r="F91" s="9"/>
      <c r="Q91" s="3"/>
      <c r="R91" s="16"/>
    </row>
    <row r="92" spans="6:18" ht="15.75" customHeight="1" x14ac:dyDescent="0.25">
      <c r="F92" s="9"/>
      <c r="Q92" s="3"/>
      <c r="R92" s="16"/>
    </row>
    <row r="93" spans="6:18" ht="15.75" customHeight="1" x14ac:dyDescent="0.25">
      <c r="F93" s="9"/>
      <c r="Q93" s="3"/>
      <c r="R93" s="16"/>
    </row>
    <row r="94" spans="6:18" ht="15.75" customHeight="1" x14ac:dyDescent="0.25">
      <c r="F94" s="9"/>
      <c r="Q94" s="3"/>
      <c r="R94" s="16"/>
    </row>
    <row r="95" spans="6:18" ht="15.75" customHeight="1" x14ac:dyDescent="0.25">
      <c r="F95" s="9"/>
      <c r="Q95" s="3"/>
      <c r="R95" s="16"/>
    </row>
    <row r="96" spans="6:18" ht="15.75" customHeight="1" x14ac:dyDescent="0.25">
      <c r="F96" s="9"/>
      <c r="Q96" s="3"/>
      <c r="R96" s="16"/>
    </row>
    <row r="97" spans="6:18" ht="15.75" customHeight="1" x14ac:dyDescent="0.25">
      <c r="F97" s="9"/>
      <c r="Q97" s="3"/>
      <c r="R97" s="16"/>
    </row>
    <row r="98" spans="6:18" ht="15.75" customHeight="1" x14ac:dyDescent="0.25">
      <c r="F98" s="9"/>
      <c r="Q98" s="3"/>
      <c r="R98" s="16"/>
    </row>
    <row r="99" spans="6:18" ht="15.75" customHeight="1" x14ac:dyDescent="0.25">
      <c r="F99" s="9"/>
      <c r="Q99" s="3"/>
      <c r="R99" s="16"/>
    </row>
    <row r="100" spans="6:18" ht="15.75" customHeight="1" x14ac:dyDescent="0.25">
      <c r="F100" s="9"/>
      <c r="Q100" s="3"/>
      <c r="R100" s="16"/>
    </row>
    <row r="101" spans="6:18" ht="15.75" customHeight="1" x14ac:dyDescent="0.25">
      <c r="F101" s="9"/>
      <c r="Q101" s="3"/>
      <c r="R101" s="16"/>
    </row>
    <row r="102" spans="6:18" ht="15.75" customHeight="1" x14ac:dyDescent="0.25">
      <c r="F102" s="9"/>
      <c r="Q102" s="3"/>
      <c r="R102" s="16"/>
    </row>
    <row r="103" spans="6:18" ht="15.75" customHeight="1" x14ac:dyDescent="0.25">
      <c r="F103" s="9"/>
      <c r="Q103" s="3"/>
      <c r="R103" s="16"/>
    </row>
    <row r="104" spans="6:18" ht="15.75" customHeight="1" x14ac:dyDescent="0.25">
      <c r="F104" s="9"/>
      <c r="Q104" s="3"/>
      <c r="R104" s="16"/>
    </row>
    <row r="105" spans="6:18" ht="15.75" customHeight="1" x14ac:dyDescent="0.25">
      <c r="F105" s="9"/>
      <c r="Q105" s="3"/>
      <c r="R105" s="16"/>
    </row>
    <row r="106" spans="6:18" ht="15.75" customHeight="1" x14ac:dyDescent="0.25">
      <c r="F106" s="9"/>
      <c r="Q106" s="3"/>
      <c r="R106" s="16"/>
    </row>
    <row r="107" spans="6:18" ht="15.75" customHeight="1" x14ac:dyDescent="0.25">
      <c r="F107" s="9"/>
      <c r="Q107" s="3"/>
      <c r="R107" s="16"/>
    </row>
    <row r="108" spans="6:18" ht="15.75" customHeight="1" x14ac:dyDescent="0.25">
      <c r="F108" s="9"/>
      <c r="Q108" s="3"/>
      <c r="R108" s="16"/>
    </row>
    <row r="109" spans="6:18" ht="15.75" customHeight="1" x14ac:dyDescent="0.25">
      <c r="F109" s="9"/>
      <c r="Q109" s="3"/>
      <c r="R109" s="16"/>
    </row>
    <row r="110" spans="6:18" ht="15.75" customHeight="1" x14ac:dyDescent="0.25">
      <c r="F110" s="9"/>
      <c r="Q110" s="3"/>
      <c r="R110" s="16"/>
    </row>
    <row r="111" spans="6:18" ht="15.75" customHeight="1" x14ac:dyDescent="0.25">
      <c r="F111" s="9"/>
      <c r="Q111" s="3"/>
      <c r="R111" s="16"/>
    </row>
    <row r="112" spans="6:18" ht="15.75" customHeight="1" x14ac:dyDescent="0.25">
      <c r="F112" s="9"/>
      <c r="Q112" s="3"/>
      <c r="R112" s="16"/>
    </row>
    <row r="113" spans="6:18" ht="15.75" customHeight="1" x14ac:dyDescent="0.25">
      <c r="F113" s="9"/>
      <c r="Q113" s="3"/>
      <c r="R113" s="16"/>
    </row>
    <row r="114" spans="6:18" ht="15.75" customHeight="1" x14ac:dyDescent="0.25">
      <c r="F114" s="9"/>
      <c r="Q114" s="3"/>
      <c r="R114" s="16"/>
    </row>
    <row r="115" spans="6:18" ht="15.75" customHeight="1" x14ac:dyDescent="0.25">
      <c r="F115" s="9"/>
      <c r="Q115" s="3"/>
      <c r="R115" s="16"/>
    </row>
    <row r="116" spans="6:18" ht="15.75" customHeight="1" x14ac:dyDescent="0.25">
      <c r="F116" s="9"/>
      <c r="Q116" s="3"/>
      <c r="R116" s="16"/>
    </row>
    <row r="117" spans="6:18" ht="15.75" customHeight="1" x14ac:dyDescent="0.25">
      <c r="F117" s="9"/>
      <c r="Q117" s="3"/>
      <c r="R117" s="16"/>
    </row>
    <row r="118" spans="6:18" ht="15.75" customHeight="1" x14ac:dyDescent="0.25">
      <c r="F118" s="9"/>
      <c r="Q118" s="3"/>
      <c r="R118" s="16"/>
    </row>
    <row r="119" spans="6:18" ht="15.75" customHeight="1" x14ac:dyDescent="0.25">
      <c r="F119" s="9"/>
      <c r="Q119" s="3"/>
      <c r="R119" s="16"/>
    </row>
    <row r="120" spans="6:18" ht="15.75" customHeight="1" x14ac:dyDescent="0.25">
      <c r="F120" s="9"/>
      <c r="Q120" s="3"/>
      <c r="R120" s="16"/>
    </row>
    <row r="121" spans="6:18" ht="15.75" customHeight="1" x14ac:dyDescent="0.25">
      <c r="F121" s="9"/>
      <c r="Q121" s="3"/>
      <c r="R121" s="16"/>
    </row>
    <row r="122" spans="6:18" ht="15.75" customHeight="1" x14ac:dyDescent="0.25">
      <c r="F122" s="9"/>
      <c r="Q122" s="3"/>
      <c r="R122" s="16"/>
    </row>
    <row r="123" spans="6:18" ht="15.75" customHeight="1" x14ac:dyDescent="0.25">
      <c r="F123" s="9"/>
      <c r="Q123" s="3"/>
      <c r="R123" s="16"/>
    </row>
    <row r="124" spans="6:18" ht="15.75" customHeight="1" x14ac:dyDescent="0.25">
      <c r="F124" s="9"/>
      <c r="Q124" s="3"/>
      <c r="R124" s="16"/>
    </row>
    <row r="125" spans="6:18" ht="15.75" customHeight="1" x14ac:dyDescent="0.25">
      <c r="F125" s="9"/>
      <c r="Q125" s="3"/>
      <c r="R125" s="16"/>
    </row>
    <row r="126" spans="6:18" ht="15.75" customHeight="1" x14ac:dyDescent="0.25">
      <c r="F126" s="9"/>
      <c r="Q126" s="3"/>
      <c r="R126" s="16"/>
    </row>
    <row r="127" spans="6:18" ht="15.75" customHeight="1" x14ac:dyDescent="0.25">
      <c r="F127" s="9"/>
      <c r="Q127" s="3"/>
      <c r="R127" s="16"/>
    </row>
    <row r="128" spans="6:18" ht="15.75" customHeight="1" x14ac:dyDescent="0.25">
      <c r="F128" s="9"/>
      <c r="Q128" s="3"/>
      <c r="R128" s="16"/>
    </row>
    <row r="129" spans="6:18" ht="15.75" customHeight="1" x14ac:dyDescent="0.25">
      <c r="F129" s="9"/>
      <c r="Q129" s="3"/>
      <c r="R129" s="16"/>
    </row>
    <row r="130" spans="6:18" ht="15.75" customHeight="1" x14ac:dyDescent="0.25">
      <c r="F130" s="9"/>
      <c r="Q130" s="3"/>
      <c r="R130" s="16"/>
    </row>
    <row r="131" spans="6:18" ht="15.75" customHeight="1" x14ac:dyDescent="0.25">
      <c r="F131" s="9"/>
      <c r="Q131" s="3"/>
      <c r="R131" s="16"/>
    </row>
    <row r="132" spans="6:18" ht="15.75" customHeight="1" x14ac:dyDescent="0.25">
      <c r="F132" s="9"/>
      <c r="Q132" s="3"/>
      <c r="R132" s="16"/>
    </row>
    <row r="133" spans="6:18" ht="15.75" customHeight="1" x14ac:dyDescent="0.25">
      <c r="F133" s="9"/>
      <c r="Q133" s="3"/>
      <c r="R133" s="16"/>
    </row>
    <row r="134" spans="6:18" ht="15.75" customHeight="1" x14ac:dyDescent="0.25">
      <c r="F134" s="9"/>
      <c r="Q134" s="3"/>
      <c r="R134" s="16"/>
    </row>
    <row r="135" spans="6:18" ht="15.75" customHeight="1" x14ac:dyDescent="0.25">
      <c r="F135" s="9"/>
      <c r="Q135" s="3"/>
      <c r="R135" s="16"/>
    </row>
    <row r="136" spans="6:18" ht="15.75" customHeight="1" x14ac:dyDescent="0.25">
      <c r="F136" s="9"/>
      <c r="Q136" s="3"/>
      <c r="R136" s="16"/>
    </row>
    <row r="137" spans="6:18" ht="15.75" customHeight="1" x14ac:dyDescent="0.25">
      <c r="F137" s="9"/>
      <c r="Q137" s="3"/>
      <c r="R137" s="16"/>
    </row>
    <row r="138" spans="6:18" ht="15.75" customHeight="1" x14ac:dyDescent="0.25">
      <c r="F138" s="9"/>
      <c r="Q138" s="3"/>
      <c r="R138" s="16"/>
    </row>
    <row r="139" spans="6:18" ht="15.75" customHeight="1" x14ac:dyDescent="0.25">
      <c r="F139" s="9"/>
      <c r="Q139" s="3"/>
      <c r="R139" s="16"/>
    </row>
    <row r="140" spans="6:18" ht="15.75" customHeight="1" x14ac:dyDescent="0.25">
      <c r="F140" s="9"/>
      <c r="Q140" s="3"/>
      <c r="R140" s="16"/>
    </row>
    <row r="141" spans="6:18" ht="15.75" customHeight="1" x14ac:dyDescent="0.25">
      <c r="F141" s="9"/>
      <c r="Q141" s="3"/>
      <c r="R141" s="16"/>
    </row>
    <row r="142" spans="6:18" ht="15.75" customHeight="1" x14ac:dyDescent="0.25">
      <c r="F142" s="9"/>
      <c r="Q142" s="3"/>
      <c r="R142" s="16"/>
    </row>
    <row r="143" spans="6:18" ht="15.75" customHeight="1" x14ac:dyDescent="0.25">
      <c r="F143" s="9"/>
      <c r="Q143" s="3"/>
      <c r="R143" s="16"/>
    </row>
    <row r="144" spans="6:18" ht="15.75" customHeight="1" x14ac:dyDescent="0.25">
      <c r="F144" s="9"/>
      <c r="Q144" s="3"/>
      <c r="R144" s="16"/>
    </row>
    <row r="145" spans="6:18" ht="15.75" customHeight="1" x14ac:dyDescent="0.25">
      <c r="F145" s="9"/>
      <c r="Q145" s="3"/>
      <c r="R145" s="16"/>
    </row>
    <row r="146" spans="6:18" ht="15.75" customHeight="1" x14ac:dyDescent="0.25">
      <c r="F146" s="9"/>
      <c r="Q146" s="3"/>
      <c r="R146" s="16"/>
    </row>
    <row r="147" spans="6:18" ht="15.75" customHeight="1" x14ac:dyDescent="0.25">
      <c r="F147" s="9"/>
      <c r="Q147" s="3"/>
      <c r="R147" s="16"/>
    </row>
    <row r="148" spans="6:18" ht="15.75" customHeight="1" x14ac:dyDescent="0.25">
      <c r="F148" s="9"/>
      <c r="Q148" s="3"/>
      <c r="R148" s="16"/>
    </row>
    <row r="149" spans="6:18" ht="15.75" customHeight="1" x14ac:dyDescent="0.25">
      <c r="F149" s="9"/>
      <c r="Q149" s="3"/>
      <c r="R149" s="16"/>
    </row>
    <row r="150" spans="6:18" ht="15.75" customHeight="1" x14ac:dyDescent="0.25">
      <c r="F150" s="9"/>
      <c r="Q150" s="3"/>
      <c r="R150" s="16"/>
    </row>
    <row r="151" spans="6:18" ht="15.75" customHeight="1" x14ac:dyDescent="0.25">
      <c r="F151" s="9"/>
      <c r="Q151" s="3"/>
      <c r="R151" s="16"/>
    </row>
    <row r="152" spans="6:18" ht="15.75" customHeight="1" x14ac:dyDescent="0.25">
      <c r="F152" s="9"/>
      <c r="Q152" s="3"/>
      <c r="R152" s="16"/>
    </row>
    <row r="153" spans="6:18" ht="15.75" customHeight="1" x14ac:dyDescent="0.25">
      <c r="F153" s="9"/>
      <c r="Q153" s="3"/>
      <c r="R153" s="16"/>
    </row>
    <row r="154" spans="6:18" ht="15.75" customHeight="1" x14ac:dyDescent="0.25">
      <c r="F154" s="9"/>
      <c r="Q154" s="3"/>
      <c r="R154" s="16"/>
    </row>
    <row r="155" spans="6:18" ht="15.75" customHeight="1" x14ac:dyDescent="0.25">
      <c r="F155" s="9"/>
      <c r="Q155" s="3"/>
      <c r="R155" s="16"/>
    </row>
    <row r="156" spans="6:18" ht="15.75" customHeight="1" x14ac:dyDescent="0.25">
      <c r="F156" s="9"/>
      <c r="Q156" s="3"/>
      <c r="R156" s="16"/>
    </row>
    <row r="157" spans="6:18" ht="15.75" customHeight="1" x14ac:dyDescent="0.25">
      <c r="F157" s="9"/>
      <c r="Q157" s="3"/>
      <c r="R157" s="16"/>
    </row>
    <row r="158" spans="6:18" ht="15.75" customHeight="1" x14ac:dyDescent="0.25">
      <c r="F158" s="9"/>
      <c r="Q158" s="3"/>
      <c r="R158" s="16"/>
    </row>
    <row r="159" spans="6:18" ht="15.75" customHeight="1" x14ac:dyDescent="0.25">
      <c r="F159" s="9"/>
      <c r="Q159" s="3"/>
      <c r="R159" s="16"/>
    </row>
    <row r="160" spans="6:18" ht="15.75" customHeight="1" x14ac:dyDescent="0.25">
      <c r="F160" s="9"/>
      <c r="Q160" s="3"/>
      <c r="R160" s="16"/>
    </row>
    <row r="161" spans="6:18" ht="15.75" customHeight="1" x14ac:dyDescent="0.25">
      <c r="F161" s="9"/>
      <c r="Q161" s="3"/>
      <c r="R161" s="16"/>
    </row>
    <row r="162" spans="6:18" ht="15.75" customHeight="1" x14ac:dyDescent="0.25">
      <c r="F162" s="9"/>
      <c r="Q162" s="3"/>
      <c r="R162" s="16"/>
    </row>
    <row r="163" spans="6:18" ht="15.75" customHeight="1" x14ac:dyDescent="0.25">
      <c r="F163" s="9"/>
      <c r="Q163" s="3"/>
      <c r="R163" s="16"/>
    </row>
    <row r="164" spans="6:18" ht="15.75" customHeight="1" x14ac:dyDescent="0.25">
      <c r="F164" s="9"/>
      <c r="Q164" s="3"/>
      <c r="R164" s="16"/>
    </row>
    <row r="165" spans="6:18" ht="15.75" customHeight="1" x14ac:dyDescent="0.25">
      <c r="F165" s="9"/>
      <c r="Q165" s="3"/>
      <c r="R165" s="16"/>
    </row>
    <row r="166" spans="6:18" ht="15.75" customHeight="1" x14ac:dyDescent="0.25">
      <c r="F166" s="9"/>
      <c r="Q166" s="3"/>
      <c r="R166" s="16"/>
    </row>
    <row r="167" spans="6:18" ht="15.75" customHeight="1" x14ac:dyDescent="0.25">
      <c r="F167" s="9"/>
      <c r="Q167" s="3"/>
      <c r="R167" s="16"/>
    </row>
    <row r="168" spans="6:18" ht="15.75" customHeight="1" x14ac:dyDescent="0.25">
      <c r="F168" s="9"/>
      <c r="Q168" s="3"/>
      <c r="R168" s="16"/>
    </row>
    <row r="169" spans="6:18" ht="15.75" customHeight="1" x14ac:dyDescent="0.25">
      <c r="F169" s="9"/>
      <c r="Q169" s="3"/>
      <c r="R169" s="16"/>
    </row>
    <row r="170" spans="6:18" ht="15.75" customHeight="1" x14ac:dyDescent="0.25">
      <c r="F170" s="9"/>
      <c r="Q170" s="3"/>
      <c r="R170" s="16"/>
    </row>
    <row r="171" spans="6:18" ht="15.75" customHeight="1" x14ac:dyDescent="0.25">
      <c r="F171" s="9"/>
      <c r="Q171" s="3"/>
      <c r="R171" s="16"/>
    </row>
    <row r="172" spans="6:18" ht="15.75" customHeight="1" x14ac:dyDescent="0.25">
      <c r="F172" s="9"/>
      <c r="Q172" s="3"/>
      <c r="R172" s="16"/>
    </row>
    <row r="173" spans="6:18" ht="15.75" customHeight="1" x14ac:dyDescent="0.25">
      <c r="F173" s="9"/>
      <c r="Q173" s="3"/>
      <c r="R173" s="16"/>
    </row>
    <row r="174" spans="6:18" ht="15.75" customHeight="1" x14ac:dyDescent="0.25">
      <c r="F174" s="9"/>
      <c r="Q174" s="3"/>
      <c r="R174" s="16"/>
    </row>
    <row r="175" spans="6:18" ht="15.75" customHeight="1" x14ac:dyDescent="0.25">
      <c r="F175" s="9"/>
      <c r="Q175" s="3"/>
      <c r="R175" s="16"/>
    </row>
    <row r="176" spans="6:18" ht="15.75" customHeight="1" x14ac:dyDescent="0.25">
      <c r="F176" s="9"/>
      <c r="Q176" s="3"/>
      <c r="R176" s="16"/>
    </row>
    <row r="177" spans="6:18" ht="15.75" customHeight="1" x14ac:dyDescent="0.25">
      <c r="F177" s="9"/>
      <c r="Q177" s="3"/>
      <c r="R177" s="16"/>
    </row>
    <row r="178" spans="6:18" ht="15.75" customHeight="1" x14ac:dyDescent="0.25">
      <c r="F178" s="9"/>
      <c r="Q178" s="3"/>
      <c r="R178" s="16"/>
    </row>
    <row r="179" spans="6:18" ht="15.75" customHeight="1" x14ac:dyDescent="0.25">
      <c r="F179" s="9"/>
      <c r="Q179" s="3"/>
      <c r="R179" s="16"/>
    </row>
    <row r="180" spans="6:18" ht="15.75" customHeight="1" x14ac:dyDescent="0.25">
      <c r="F180" s="9"/>
      <c r="Q180" s="3"/>
      <c r="R180" s="16"/>
    </row>
    <row r="181" spans="6:18" ht="15.75" customHeight="1" x14ac:dyDescent="0.25">
      <c r="F181" s="9"/>
      <c r="Q181" s="3"/>
      <c r="R181" s="16"/>
    </row>
    <row r="182" spans="6:18" ht="15.75" customHeight="1" x14ac:dyDescent="0.25">
      <c r="F182" s="9"/>
      <c r="Q182" s="3"/>
      <c r="R182" s="16"/>
    </row>
    <row r="183" spans="6:18" ht="15.75" customHeight="1" x14ac:dyDescent="0.25">
      <c r="F183" s="9"/>
      <c r="Q183" s="3"/>
      <c r="R183" s="16"/>
    </row>
    <row r="184" spans="6:18" ht="15.75" customHeight="1" x14ac:dyDescent="0.25">
      <c r="F184" s="9"/>
      <c r="Q184" s="3"/>
      <c r="R184" s="16"/>
    </row>
    <row r="185" spans="6:18" ht="15.75" customHeight="1" x14ac:dyDescent="0.25">
      <c r="F185" s="9"/>
      <c r="Q185" s="3"/>
      <c r="R185" s="16"/>
    </row>
    <row r="186" spans="6:18" ht="15.75" customHeight="1" x14ac:dyDescent="0.25">
      <c r="F186" s="9"/>
      <c r="Q186" s="3"/>
      <c r="R186" s="16"/>
    </row>
    <row r="187" spans="6:18" ht="15.75" customHeight="1" x14ac:dyDescent="0.25">
      <c r="F187" s="9"/>
      <c r="Q187" s="3"/>
      <c r="R187" s="16"/>
    </row>
    <row r="188" spans="6:18" ht="15.75" customHeight="1" x14ac:dyDescent="0.25">
      <c r="F188" s="9"/>
      <c r="Q188" s="3"/>
      <c r="R188" s="16"/>
    </row>
    <row r="189" spans="6:18" ht="15.75" customHeight="1" x14ac:dyDescent="0.25">
      <c r="F189" s="9"/>
      <c r="Q189" s="3"/>
      <c r="R189" s="16"/>
    </row>
    <row r="190" spans="6:18" ht="15.75" customHeight="1" x14ac:dyDescent="0.25">
      <c r="F190" s="9"/>
      <c r="Q190" s="3"/>
      <c r="R190" s="16"/>
    </row>
    <row r="191" spans="6:18" ht="15.75" customHeight="1" x14ac:dyDescent="0.25">
      <c r="F191" s="9"/>
      <c r="Q191" s="3"/>
      <c r="R191" s="16"/>
    </row>
    <row r="192" spans="6:18" ht="15.75" customHeight="1" x14ac:dyDescent="0.25">
      <c r="F192" s="9"/>
      <c r="Q192" s="3"/>
      <c r="R192" s="16"/>
    </row>
    <row r="193" spans="6:18" ht="15.75" customHeight="1" x14ac:dyDescent="0.25">
      <c r="F193" s="9"/>
      <c r="Q193" s="3"/>
      <c r="R193" s="16"/>
    </row>
    <row r="194" spans="6:18" ht="15.75" customHeight="1" x14ac:dyDescent="0.25">
      <c r="F194" s="9"/>
      <c r="Q194" s="3"/>
      <c r="R194" s="16"/>
    </row>
    <row r="195" spans="6:18" ht="15.75" customHeight="1" x14ac:dyDescent="0.25">
      <c r="F195" s="9"/>
      <c r="Q195" s="3"/>
      <c r="R195" s="16"/>
    </row>
    <row r="196" spans="6:18" ht="15.75" customHeight="1" x14ac:dyDescent="0.25">
      <c r="F196" s="9"/>
      <c r="Q196" s="3"/>
      <c r="R196" s="16"/>
    </row>
    <row r="197" spans="6:18" ht="15.75" customHeight="1" x14ac:dyDescent="0.25">
      <c r="F197" s="9"/>
      <c r="Q197" s="3"/>
      <c r="R197" s="16"/>
    </row>
    <row r="198" spans="6:18" ht="15.75" customHeight="1" x14ac:dyDescent="0.25">
      <c r="F198" s="9"/>
      <c r="Q198" s="3"/>
      <c r="R198" s="16"/>
    </row>
    <row r="199" spans="6:18" ht="15.75" customHeight="1" x14ac:dyDescent="0.25">
      <c r="F199" s="9"/>
      <c r="Q199" s="3"/>
      <c r="R199" s="16"/>
    </row>
    <row r="200" spans="6:18" ht="15.75" customHeight="1" x14ac:dyDescent="0.25">
      <c r="F200" s="9"/>
      <c r="Q200" s="3"/>
      <c r="R200" s="16"/>
    </row>
    <row r="201" spans="6:18" ht="15.75" customHeight="1" x14ac:dyDescent="0.25">
      <c r="F201" s="9"/>
      <c r="Q201" s="3"/>
      <c r="R201" s="16"/>
    </row>
    <row r="202" spans="6:18" ht="15.75" customHeight="1" x14ac:dyDescent="0.25">
      <c r="F202" s="9"/>
      <c r="Q202" s="3"/>
      <c r="R202" s="16"/>
    </row>
    <row r="203" spans="6:18" ht="15.75" customHeight="1" x14ac:dyDescent="0.25">
      <c r="F203" s="9"/>
      <c r="Q203" s="3"/>
      <c r="R203" s="16"/>
    </row>
    <row r="204" spans="6:18" ht="15.75" customHeight="1" x14ac:dyDescent="0.25">
      <c r="F204" s="9"/>
      <c r="Q204" s="3"/>
      <c r="R204" s="16"/>
    </row>
    <row r="205" spans="6:18" ht="15.75" customHeight="1" x14ac:dyDescent="0.25">
      <c r="F205" s="9"/>
      <c r="Q205" s="3"/>
      <c r="R205" s="16"/>
    </row>
    <row r="206" spans="6:18" ht="15.75" customHeight="1" x14ac:dyDescent="0.25">
      <c r="F206" s="9"/>
      <c r="Q206" s="3"/>
      <c r="R206" s="16"/>
    </row>
    <row r="207" spans="6:18" ht="15.75" customHeight="1" x14ac:dyDescent="0.25">
      <c r="F207" s="9"/>
      <c r="Q207" s="3"/>
      <c r="R207" s="16"/>
    </row>
    <row r="208" spans="6:18" ht="15.75" customHeight="1" x14ac:dyDescent="0.25">
      <c r="F208" s="9"/>
      <c r="Q208" s="3"/>
      <c r="R208" s="16"/>
    </row>
    <row r="209" spans="6:18" ht="15.75" customHeight="1" x14ac:dyDescent="0.25">
      <c r="F209" s="9"/>
      <c r="Q209" s="3"/>
      <c r="R209" s="16"/>
    </row>
    <row r="210" spans="6:18" ht="15.75" customHeight="1" x14ac:dyDescent="0.25">
      <c r="F210" s="9"/>
      <c r="Q210" s="3"/>
      <c r="R210" s="16"/>
    </row>
    <row r="211" spans="6:18" ht="15.75" customHeight="1" x14ac:dyDescent="0.25">
      <c r="F211" s="9"/>
      <c r="Q211" s="3"/>
      <c r="R211" s="16"/>
    </row>
    <row r="212" spans="6:18" ht="15.75" customHeight="1" x14ac:dyDescent="0.25">
      <c r="F212" s="9"/>
      <c r="Q212" s="3"/>
      <c r="R212" s="16"/>
    </row>
    <row r="213" spans="6:18" ht="15.75" customHeight="1" x14ac:dyDescent="0.25">
      <c r="F213" s="9"/>
      <c r="Q213" s="3"/>
      <c r="R213" s="16"/>
    </row>
    <row r="214" spans="6:18" ht="15.75" customHeight="1" x14ac:dyDescent="0.25">
      <c r="F214" s="9"/>
      <c r="Q214" s="3"/>
      <c r="R214" s="16"/>
    </row>
    <row r="215" spans="6:18" ht="15.75" customHeight="1" x14ac:dyDescent="0.25">
      <c r="F215" s="9"/>
      <c r="Q215" s="3"/>
      <c r="R215" s="16"/>
    </row>
    <row r="216" spans="6:18" ht="15.75" customHeight="1" x14ac:dyDescent="0.25">
      <c r="F216" s="9"/>
      <c r="Q216" s="3"/>
      <c r="R216" s="16"/>
    </row>
    <row r="217" spans="6:18" ht="15.75" customHeight="1" x14ac:dyDescent="0.25">
      <c r="F217" s="9"/>
      <c r="Q217" s="3"/>
      <c r="R217" s="16"/>
    </row>
    <row r="218" spans="6:18" ht="15.75" customHeight="1" x14ac:dyDescent="0.25">
      <c r="F218" s="9"/>
      <c r="Q218" s="3"/>
      <c r="R218" s="16"/>
    </row>
    <row r="219" spans="6:18" ht="15.75" customHeight="1" x14ac:dyDescent="0.25">
      <c r="F219" s="9"/>
      <c r="Q219" s="3"/>
      <c r="R219" s="16"/>
    </row>
    <row r="220" spans="6:18" ht="15.75" customHeight="1" x14ac:dyDescent="0.25">
      <c r="F220" s="9"/>
      <c r="Q220" s="3"/>
      <c r="R220" s="16"/>
    </row>
    <row r="221" spans="6:18" ht="15.75" customHeight="1" x14ac:dyDescent="0.25">
      <c r="F221" s="9"/>
      <c r="Q221" s="3"/>
      <c r="R221" s="16"/>
    </row>
    <row r="222" spans="6:18" ht="15.75" customHeight="1" x14ac:dyDescent="0.25">
      <c r="F222" s="9"/>
      <c r="Q222" s="3"/>
      <c r="R222" s="16"/>
    </row>
    <row r="223" spans="6:18" ht="15.75" customHeight="1" x14ac:dyDescent="0.25">
      <c r="F223" s="9"/>
      <c r="Q223" s="3"/>
      <c r="R223" s="16"/>
    </row>
    <row r="224" spans="6:18" ht="15.75" customHeight="1" x14ac:dyDescent="0.25">
      <c r="F224" s="9"/>
      <c r="Q224" s="3"/>
      <c r="R224" s="16"/>
    </row>
    <row r="225" spans="6:18" ht="15.75" customHeight="1" x14ac:dyDescent="0.25">
      <c r="F225" s="9"/>
      <c r="Q225" s="3"/>
      <c r="R225" s="16"/>
    </row>
    <row r="226" spans="6:18" ht="15.75" customHeight="1" x14ac:dyDescent="0.25">
      <c r="F226" s="9"/>
      <c r="Q226" s="3"/>
      <c r="R226" s="16"/>
    </row>
    <row r="227" spans="6:18" ht="15.75" customHeight="1" x14ac:dyDescent="0.25">
      <c r="F227" s="9"/>
      <c r="Q227" s="3"/>
      <c r="R227" s="16"/>
    </row>
    <row r="228" spans="6:18" ht="15.75" customHeight="1" x14ac:dyDescent="0.25">
      <c r="F228" s="9"/>
      <c r="Q228" s="3"/>
      <c r="R228" s="16"/>
    </row>
    <row r="229" spans="6:18" ht="15.75" customHeight="1" x14ac:dyDescent="0.25">
      <c r="F229" s="9"/>
      <c r="Q229" s="3"/>
      <c r="R229" s="16"/>
    </row>
    <row r="230" spans="6:18" ht="15.75" customHeight="1" x14ac:dyDescent="0.25">
      <c r="F230" s="9"/>
      <c r="Q230" s="3"/>
      <c r="R230" s="16"/>
    </row>
    <row r="231" spans="6:18" ht="15.75" customHeight="1" x14ac:dyDescent="0.25">
      <c r="F231" s="9"/>
      <c r="Q231" s="3"/>
      <c r="R231" s="16"/>
    </row>
    <row r="232" spans="6:18" ht="15.75" customHeight="1" x14ac:dyDescent="0.25">
      <c r="F232" s="9"/>
      <c r="Q232" s="3"/>
      <c r="R232" s="16"/>
    </row>
    <row r="233" spans="6:18" ht="15.75" customHeight="1" x14ac:dyDescent="0.25">
      <c r="F233" s="9"/>
      <c r="Q233" s="3"/>
      <c r="R233" s="16"/>
    </row>
    <row r="234" spans="6:18" ht="15.75" customHeight="1" x14ac:dyDescent="0.25">
      <c r="F234" s="9"/>
      <c r="Q234" s="3"/>
      <c r="R234" s="16"/>
    </row>
    <row r="235" spans="6:18" ht="15.75" customHeight="1" x14ac:dyDescent="0.25">
      <c r="F235" s="9"/>
      <c r="Q235" s="3"/>
      <c r="R235" s="16"/>
    </row>
    <row r="236" spans="6:18" ht="15.75" customHeight="1" x14ac:dyDescent="0.25">
      <c r="F236" s="9"/>
      <c r="Q236" s="3"/>
      <c r="R236" s="16"/>
    </row>
    <row r="237" spans="6:18" ht="15.75" customHeight="1" x14ac:dyDescent="0.25">
      <c r="F237" s="9"/>
      <c r="Q237" s="3"/>
      <c r="R237" s="16"/>
    </row>
    <row r="238" spans="6:18" ht="15.75" customHeight="1" x14ac:dyDescent="0.25">
      <c r="F238" s="9"/>
      <c r="Q238" s="3"/>
      <c r="R238" s="16"/>
    </row>
    <row r="239" spans="6:18" ht="15.75" customHeight="1" x14ac:dyDescent="0.25">
      <c r="F239" s="9"/>
      <c r="Q239" s="3"/>
      <c r="R239" s="16"/>
    </row>
    <row r="240" spans="6:18" ht="15.75" customHeight="1" x14ac:dyDescent="0.25">
      <c r="F240" s="9"/>
      <c r="Q240" s="3"/>
      <c r="R240" s="16"/>
    </row>
    <row r="241" spans="6:18" ht="15.75" customHeight="1" x14ac:dyDescent="0.25">
      <c r="F241" s="9"/>
      <c r="Q241" s="3"/>
      <c r="R241" s="16"/>
    </row>
    <row r="242" spans="6:18" ht="15.75" customHeight="1" x14ac:dyDescent="0.25">
      <c r="F242" s="9"/>
      <c r="Q242" s="3"/>
      <c r="R242" s="16"/>
    </row>
    <row r="243" spans="6:18" ht="15.75" customHeight="1" x14ac:dyDescent="0.25">
      <c r="F243" s="9"/>
      <c r="Q243" s="3"/>
      <c r="R243" s="16"/>
    </row>
    <row r="244" spans="6:18" ht="15.75" customHeight="1" x14ac:dyDescent="0.25">
      <c r="F244" s="9"/>
      <c r="Q244" s="3"/>
      <c r="R244" s="16"/>
    </row>
    <row r="245" spans="6:18" ht="15.75" customHeight="1" x14ac:dyDescent="0.25">
      <c r="F245" s="9"/>
      <c r="Q245" s="3"/>
      <c r="R245" s="16"/>
    </row>
    <row r="246" spans="6:18" ht="15.75" customHeight="1" x14ac:dyDescent="0.25">
      <c r="F246" s="9"/>
      <c r="Q246" s="3"/>
      <c r="R246" s="16"/>
    </row>
    <row r="247" spans="6:18" ht="15.75" customHeight="1" x14ac:dyDescent="0.25">
      <c r="F247" s="9"/>
      <c r="Q247" s="3"/>
      <c r="R247" s="16"/>
    </row>
    <row r="248" spans="6:18" ht="15.75" customHeight="1" x14ac:dyDescent="0.25">
      <c r="F248" s="9"/>
      <c r="Q248" s="3"/>
      <c r="R248" s="16"/>
    </row>
    <row r="249" spans="6:18" ht="15.75" customHeight="1" x14ac:dyDescent="0.25">
      <c r="F249" s="9"/>
      <c r="Q249" s="3"/>
      <c r="R249" s="16"/>
    </row>
    <row r="250" spans="6:18" ht="15.75" customHeight="1" x14ac:dyDescent="0.25">
      <c r="F250" s="9"/>
      <c r="Q250" s="3"/>
      <c r="R250" s="16"/>
    </row>
    <row r="251" spans="6:18" ht="15.75" customHeight="1" x14ac:dyDescent="0.25">
      <c r="F251" s="9"/>
      <c r="Q251" s="3"/>
      <c r="R251" s="16"/>
    </row>
    <row r="252" spans="6:18" ht="15.75" customHeight="1" x14ac:dyDescent="0.25">
      <c r="F252" s="9"/>
      <c r="Q252" s="3"/>
      <c r="R252" s="16"/>
    </row>
    <row r="253" spans="6:18" ht="15.75" customHeight="1" x14ac:dyDescent="0.25">
      <c r="F253" s="9"/>
      <c r="Q253" s="3"/>
      <c r="R253" s="16"/>
    </row>
    <row r="254" spans="6:18" ht="15.75" customHeight="1" x14ac:dyDescent="0.25">
      <c r="F254" s="9"/>
      <c r="Q254" s="3"/>
      <c r="R254" s="16"/>
    </row>
    <row r="255" spans="6:18" ht="15.75" customHeight="1" x14ac:dyDescent="0.25">
      <c r="F255" s="9"/>
      <c r="Q255" s="3"/>
      <c r="R255" s="16"/>
    </row>
    <row r="256" spans="6:18" ht="15.75" customHeight="1" x14ac:dyDescent="0.25">
      <c r="F256" s="9"/>
      <c r="Q256" s="3"/>
      <c r="R256" s="16"/>
    </row>
    <row r="257" spans="6:18" ht="15.75" customHeight="1" x14ac:dyDescent="0.25">
      <c r="F257" s="9"/>
      <c r="Q257" s="3"/>
      <c r="R257" s="16"/>
    </row>
    <row r="258" spans="6:18" ht="15.75" customHeight="1" x14ac:dyDescent="0.25">
      <c r="F258" s="9"/>
      <c r="Q258" s="3"/>
      <c r="R258" s="16"/>
    </row>
    <row r="259" spans="6:18" ht="15.75" customHeight="1" x14ac:dyDescent="0.25">
      <c r="F259" s="9"/>
      <c r="Q259" s="3"/>
      <c r="R259" s="16"/>
    </row>
    <row r="260" spans="6:18" ht="15.75" customHeight="1" x14ac:dyDescent="0.25">
      <c r="F260" s="9"/>
      <c r="Q260" s="3"/>
      <c r="R260" s="16"/>
    </row>
    <row r="261" spans="6:18" ht="15.75" customHeight="1" x14ac:dyDescent="0.25">
      <c r="F261" s="9"/>
      <c r="Q261" s="3"/>
      <c r="R261" s="16"/>
    </row>
    <row r="262" spans="6:18" ht="15.75" customHeight="1" x14ac:dyDescent="0.25">
      <c r="F262" s="9"/>
      <c r="Q262" s="3"/>
      <c r="R262" s="16"/>
    </row>
    <row r="263" spans="6:18" ht="15.75" customHeight="1" x14ac:dyDescent="0.25">
      <c r="F263" s="9"/>
      <c r="Q263" s="3"/>
      <c r="R263" s="16"/>
    </row>
    <row r="264" spans="6:18" ht="15.75" customHeight="1" x14ac:dyDescent="0.25">
      <c r="F264" s="9"/>
      <c r="Q264" s="3"/>
      <c r="R264" s="16"/>
    </row>
    <row r="265" spans="6:18" ht="15.75" customHeight="1" x14ac:dyDescent="0.25">
      <c r="F265" s="9"/>
      <c r="Q265" s="3"/>
      <c r="R265" s="16"/>
    </row>
    <row r="266" spans="6:18" ht="15.75" customHeight="1" x14ac:dyDescent="0.25">
      <c r="F266" s="9"/>
      <c r="Q266" s="3"/>
      <c r="R266" s="16"/>
    </row>
    <row r="267" spans="6:18" ht="15.75" customHeight="1" x14ac:dyDescent="0.25">
      <c r="F267" s="9"/>
      <c r="Q267" s="3"/>
      <c r="R267" s="16"/>
    </row>
    <row r="268" spans="6:18" ht="15.75" customHeight="1" x14ac:dyDescent="0.25">
      <c r="F268" s="9"/>
      <c r="Q268" s="3"/>
      <c r="R268" s="16"/>
    </row>
    <row r="269" spans="6:18" ht="15.75" customHeight="1" x14ac:dyDescent="0.25">
      <c r="F269" s="9"/>
      <c r="Q269" s="3"/>
      <c r="R269" s="16"/>
    </row>
    <row r="270" spans="6:18" ht="15.75" customHeight="1" x14ac:dyDescent="0.25">
      <c r="F270" s="9"/>
      <c r="Q270" s="3"/>
      <c r="R270" s="16"/>
    </row>
    <row r="271" spans="6:18" ht="15.75" customHeight="1" x14ac:dyDescent="0.25">
      <c r="F271" s="9"/>
      <c r="Q271" s="3"/>
      <c r="R271" s="16"/>
    </row>
    <row r="272" spans="6:18" ht="15.75" customHeight="1" x14ac:dyDescent="0.25">
      <c r="F272" s="9"/>
      <c r="Q272" s="3"/>
      <c r="R272" s="16"/>
    </row>
    <row r="273" spans="6:18" ht="15.75" customHeight="1" x14ac:dyDescent="0.25">
      <c r="F273" s="9"/>
      <c r="Q273" s="3"/>
      <c r="R273" s="16"/>
    </row>
    <row r="274" spans="6:18" ht="15.75" customHeight="1" x14ac:dyDescent="0.25">
      <c r="F274" s="9"/>
      <c r="Q274" s="3"/>
      <c r="R274" s="16"/>
    </row>
    <row r="275" spans="6:18" ht="15.75" customHeight="1" x14ac:dyDescent="0.25">
      <c r="F275" s="9"/>
      <c r="Q275" s="3"/>
      <c r="R275" s="16"/>
    </row>
    <row r="276" spans="6:18" ht="15.75" customHeight="1" x14ac:dyDescent="0.25">
      <c r="F276" s="9"/>
      <c r="Q276" s="3"/>
      <c r="R276" s="16"/>
    </row>
    <row r="277" spans="6:18" ht="15.75" customHeight="1" x14ac:dyDescent="0.25">
      <c r="F277" s="9"/>
      <c r="Q277" s="3"/>
      <c r="R277" s="16"/>
    </row>
    <row r="278" spans="6:18" ht="15.75" customHeight="1" x14ac:dyDescent="0.25">
      <c r="F278" s="9"/>
      <c r="Q278" s="3"/>
      <c r="R278" s="16"/>
    </row>
    <row r="279" spans="6:18" ht="15.75" customHeight="1" x14ac:dyDescent="0.25">
      <c r="F279" s="9"/>
      <c r="Q279" s="3"/>
      <c r="R279" s="16"/>
    </row>
    <row r="280" spans="6:18" ht="15.75" customHeight="1" x14ac:dyDescent="0.25">
      <c r="F280" s="9"/>
    </row>
    <row r="281" spans="6:18" ht="15.75" customHeight="1" x14ac:dyDescent="0.25">
      <c r="F281" s="9"/>
    </row>
    <row r="282" spans="6:18" ht="15.75" customHeight="1" x14ac:dyDescent="0.25">
      <c r="F282" s="9"/>
    </row>
    <row r="283" spans="6:18" ht="15.75" customHeight="1" x14ac:dyDescent="0.25">
      <c r="F283" s="9"/>
    </row>
    <row r="284" spans="6:18" ht="15.75" customHeight="1" x14ac:dyDescent="0.25">
      <c r="F284" s="9"/>
    </row>
    <row r="285" spans="6:18" ht="15.75" customHeight="1" x14ac:dyDescent="0.25">
      <c r="F285" s="9"/>
    </row>
    <row r="286" spans="6:18" ht="15.75" customHeight="1" x14ac:dyDescent="0.25">
      <c r="F286" s="9"/>
    </row>
    <row r="287" spans="6:18" ht="15.75" customHeight="1" x14ac:dyDescent="0.25">
      <c r="F287" s="9"/>
    </row>
    <row r="288" spans="6:18" ht="15.75" customHeight="1" x14ac:dyDescent="0.25">
      <c r="F288" s="9"/>
    </row>
    <row r="289" spans="6:6" ht="15.75" customHeight="1" x14ac:dyDescent="0.25">
      <c r="F289" s="9"/>
    </row>
    <row r="290" spans="6:6" ht="15.75" customHeight="1" x14ac:dyDescent="0.25">
      <c r="F290" s="9"/>
    </row>
    <row r="291" spans="6:6" ht="15.75" customHeight="1" x14ac:dyDescent="0.25">
      <c r="F291" s="9"/>
    </row>
    <row r="292" spans="6:6" ht="15.75" customHeight="1" x14ac:dyDescent="0.25">
      <c r="F292" s="9"/>
    </row>
    <row r="293" spans="6:6" ht="15.75" customHeight="1" x14ac:dyDescent="0.25">
      <c r="F293" s="9"/>
    </row>
    <row r="294" spans="6:6" ht="15.75" customHeight="1" x14ac:dyDescent="0.25">
      <c r="F294" s="9"/>
    </row>
    <row r="295" spans="6:6" ht="15.75" customHeight="1" x14ac:dyDescent="0.25">
      <c r="F295" s="9"/>
    </row>
    <row r="296" spans="6:6" ht="15.75" customHeight="1" x14ac:dyDescent="0.25">
      <c r="F296" s="9"/>
    </row>
    <row r="297" spans="6:6" ht="15.75" customHeight="1" x14ac:dyDescent="0.25">
      <c r="F297" s="9"/>
    </row>
    <row r="298" spans="6:6" ht="15.75" customHeight="1" x14ac:dyDescent="0.25">
      <c r="F298" s="9"/>
    </row>
    <row r="299" spans="6:6" ht="15.75" customHeight="1" x14ac:dyDescent="0.25">
      <c r="F299" s="9"/>
    </row>
    <row r="300" spans="6:6" ht="15.75" customHeight="1" x14ac:dyDescent="0.25">
      <c r="F300" s="9"/>
    </row>
    <row r="301" spans="6:6" ht="15.75" customHeight="1" x14ac:dyDescent="0.25">
      <c r="F301" s="9"/>
    </row>
    <row r="302" spans="6:6" ht="15.75" customHeight="1" x14ac:dyDescent="0.25">
      <c r="F302" s="9"/>
    </row>
    <row r="303" spans="6:6" ht="15.75" customHeight="1" x14ac:dyDescent="0.25">
      <c r="F303" s="9"/>
    </row>
    <row r="304" spans="6:6" ht="15.75" customHeight="1" x14ac:dyDescent="0.25">
      <c r="F304" s="9"/>
    </row>
    <row r="305" spans="6:6" ht="15.75" customHeight="1" x14ac:dyDescent="0.25">
      <c r="F305" s="9"/>
    </row>
    <row r="306" spans="6:6" ht="15.75" customHeight="1" x14ac:dyDescent="0.25">
      <c r="F306" s="9"/>
    </row>
    <row r="307" spans="6:6" ht="15.75" customHeight="1" x14ac:dyDescent="0.25">
      <c r="F307" s="9"/>
    </row>
    <row r="308" spans="6:6" ht="15.75" customHeight="1" x14ac:dyDescent="0.25">
      <c r="F308" s="9"/>
    </row>
    <row r="309" spans="6:6" ht="15.75" customHeight="1" x14ac:dyDescent="0.25">
      <c r="F309" s="9"/>
    </row>
    <row r="310" spans="6:6" ht="15.75" customHeight="1" x14ac:dyDescent="0.25">
      <c r="F310" s="9"/>
    </row>
    <row r="311" spans="6:6" ht="15.75" customHeight="1" x14ac:dyDescent="0.25">
      <c r="F311" s="9"/>
    </row>
    <row r="312" spans="6:6" ht="15.75" customHeight="1" x14ac:dyDescent="0.25">
      <c r="F312" s="9"/>
    </row>
    <row r="313" spans="6:6" ht="15.75" customHeight="1" x14ac:dyDescent="0.25">
      <c r="F313" s="9"/>
    </row>
    <row r="314" spans="6:6" ht="15.75" customHeight="1" x14ac:dyDescent="0.25">
      <c r="F314" s="9"/>
    </row>
    <row r="315" spans="6:6" ht="15.75" customHeight="1" x14ac:dyDescent="0.25">
      <c r="F315" s="9"/>
    </row>
    <row r="316" spans="6:6" ht="15.75" customHeight="1" x14ac:dyDescent="0.25">
      <c r="F316" s="9"/>
    </row>
    <row r="317" spans="6:6" ht="15.75" customHeight="1" x14ac:dyDescent="0.25">
      <c r="F317" s="9"/>
    </row>
    <row r="318" spans="6:6" ht="15.75" customHeight="1" x14ac:dyDescent="0.25">
      <c r="F318" s="9"/>
    </row>
    <row r="319" spans="6:6" ht="15.75" customHeight="1" x14ac:dyDescent="0.25">
      <c r="F319" s="9"/>
    </row>
    <row r="320" spans="6:6" ht="15.75" customHeight="1" x14ac:dyDescent="0.25">
      <c r="F320" s="9"/>
    </row>
    <row r="321" spans="6:6" ht="15.75" customHeight="1" x14ac:dyDescent="0.25">
      <c r="F321" s="9"/>
    </row>
    <row r="322" spans="6:6" ht="15.75" customHeight="1" x14ac:dyDescent="0.25">
      <c r="F322" s="9"/>
    </row>
    <row r="323" spans="6:6" ht="15.75" customHeight="1" x14ac:dyDescent="0.25">
      <c r="F323" s="9"/>
    </row>
    <row r="324" spans="6:6" ht="15.75" customHeight="1" x14ac:dyDescent="0.25">
      <c r="F324" s="9"/>
    </row>
    <row r="325" spans="6:6" ht="15.75" customHeight="1" x14ac:dyDescent="0.25">
      <c r="F325" s="9"/>
    </row>
    <row r="326" spans="6:6" ht="15.75" customHeight="1" x14ac:dyDescent="0.25">
      <c r="F326" s="9"/>
    </row>
    <row r="327" spans="6:6" ht="15.75" customHeight="1" x14ac:dyDescent="0.25">
      <c r="F327" s="9"/>
    </row>
    <row r="328" spans="6:6" ht="15.75" customHeight="1" x14ac:dyDescent="0.25">
      <c r="F328" s="9"/>
    </row>
    <row r="329" spans="6:6" ht="15.75" customHeight="1" x14ac:dyDescent="0.25">
      <c r="F329" s="9"/>
    </row>
    <row r="330" spans="6:6" ht="15.75" customHeight="1" x14ac:dyDescent="0.25">
      <c r="F330" s="9"/>
    </row>
    <row r="331" spans="6:6" ht="15.75" customHeight="1" x14ac:dyDescent="0.25">
      <c r="F331" s="9"/>
    </row>
    <row r="332" spans="6:6" ht="15.75" customHeight="1" x14ac:dyDescent="0.25">
      <c r="F332" s="9"/>
    </row>
    <row r="333" spans="6:6" ht="15.75" customHeight="1" x14ac:dyDescent="0.25">
      <c r="F333" s="9"/>
    </row>
    <row r="334" spans="6:6" ht="15.75" customHeight="1" x14ac:dyDescent="0.25">
      <c r="F334" s="9"/>
    </row>
    <row r="335" spans="6:6" ht="15.75" customHeight="1" x14ac:dyDescent="0.25">
      <c r="F335" s="9"/>
    </row>
    <row r="336" spans="6:6" ht="15.75" customHeight="1" x14ac:dyDescent="0.25">
      <c r="F336" s="9"/>
    </row>
    <row r="337" spans="6:6" ht="15.75" customHeight="1" x14ac:dyDescent="0.25">
      <c r="F337" s="9"/>
    </row>
    <row r="338" spans="6:6" ht="15.75" customHeight="1" x14ac:dyDescent="0.25">
      <c r="F338" s="9"/>
    </row>
    <row r="339" spans="6:6" ht="15.75" customHeight="1" x14ac:dyDescent="0.25">
      <c r="F339" s="9"/>
    </row>
    <row r="340" spans="6:6" ht="15.75" customHeight="1" x14ac:dyDescent="0.25">
      <c r="F340" s="9"/>
    </row>
    <row r="341" spans="6:6" ht="15.75" customHeight="1" x14ac:dyDescent="0.25">
      <c r="F341" s="9"/>
    </row>
    <row r="342" spans="6:6" ht="15.75" customHeight="1" x14ac:dyDescent="0.25">
      <c r="F342" s="9"/>
    </row>
    <row r="343" spans="6:6" ht="15.75" customHeight="1" x14ac:dyDescent="0.25">
      <c r="F343" s="9"/>
    </row>
    <row r="344" spans="6:6" ht="15.75" customHeight="1" x14ac:dyDescent="0.25">
      <c r="F344" s="9"/>
    </row>
    <row r="345" spans="6:6" ht="15.75" customHeight="1" x14ac:dyDescent="0.25">
      <c r="F345" s="9"/>
    </row>
    <row r="346" spans="6:6" ht="15.75" customHeight="1" x14ac:dyDescent="0.25">
      <c r="F346" s="9"/>
    </row>
    <row r="347" spans="6:6" ht="15.75" customHeight="1" x14ac:dyDescent="0.25">
      <c r="F347" s="9"/>
    </row>
    <row r="348" spans="6:6" ht="15.75" customHeight="1" x14ac:dyDescent="0.25">
      <c r="F348" s="9"/>
    </row>
    <row r="349" spans="6:6" ht="15.75" customHeight="1" x14ac:dyDescent="0.25">
      <c r="F349" s="9"/>
    </row>
    <row r="350" spans="6:6" ht="15.75" customHeight="1" x14ac:dyDescent="0.25">
      <c r="F350" s="9"/>
    </row>
    <row r="351" spans="6:6" ht="15.75" customHeight="1" x14ac:dyDescent="0.25">
      <c r="F351" s="9"/>
    </row>
    <row r="352" spans="6:6" ht="15.75" customHeight="1" x14ac:dyDescent="0.25">
      <c r="F352" s="9"/>
    </row>
    <row r="353" spans="6:6" ht="15.75" customHeight="1" x14ac:dyDescent="0.25">
      <c r="F353" s="9"/>
    </row>
    <row r="354" spans="6:6" ht="15.75" customHeight="1" x14ac:dyDescent="0.25">
      <c r="F354" s="9"/>
    </row>
    <row r="355" spans="6:6" ht="15.75" customHeight="1" x14ac:dyDescent="0.25">
      <c r="F355" s="9"/>
    </row>
    <row r="356" spans="6:6" ht="15.75" customHeight="1" x14ac:dyDescent="0.25">
      <c r="F356" s="9"/>
    </row>
    <row r="357" spans="6:6" ht="15.75" customHeight="1" x14ac:dyDescent="0.25">
      <c r="F357" s="9"/>
    </row>
    <row r="358" spans="6:6" ht="15.75" customHeight="1" x14ac:dyDescent="0.25">
      <c r="F358" s="9"/>
    </row>
    <row r="359" spans="6:6" ht="15.75" customHeight="1" x14ac:dyDescent="0.25">
      <c r="F359" s="9"/>
    </row>
    <row r="360" spans="6:6" ht="15.75" customHeight="1" x14ac:dyDescent="0.25">
      <c r="F360" s="9"/>
    </row>
    <row r="361" spans="6:6" ht="15.75" customHeight="1" x14ac:dyDescent="0.25">
      <c r="F361" s="9"/>
    </row>
    <row r="362" spans="6:6" ht="15.75" customHeight="1" x14ac:dyDescent="0.25">
      <c r="F362" s="9"/>
    </row>
    <row r="363" spans="6:6" ht="15.75" customHeight="1" x14ac:dyDescent="0.25">
      <c r="F363" s="9"/>
    </row>
    <row r="364" spans="6:6" ht="15.75" customHeight="1" x14ac:dyDescent="0.25">
      <c r="F364" s="9"/>
    </row>
    <row r="365" spans="6:6" ht="15.75" customHeight="1" x14ac:dyDescent="0.25">
      <c r="F365" s="9"/>
    </row>
    <row r="366" spans="6:6" ht="15.75" customHeight="1" x14ac:dyDescent="0.25">
      <c r="F366" s="9"/>
    </row>
    <row r="367" spans="6:6" ht="15.75" customHeight="1" x14ac:dyDescent="0.25">
      <c r="F367" s="9"/>
    </row>
    <row r="368" spans="6:6" ht="15.75" customHeight="1" x14ac:dyDescent="0.25">
      <c r="F368" s="9"/>
    </row>
    <row r="369" spans="6:6" ht="15.75" customHeight="1" x14ac:dyDescent="0.25">
      <c r="F369" s="9"/>
    </row>
    <row r="370" spans="6:6" ht="15.75" customHeight="1" x14ac:dyDescent="0.25">
      <c r="F370" s="9"/>
    </row>
    <row r="371" spans="6:6" ht="15.75" customHeight="1" x14ac:dyDescent="0.25">
      <c r="F371" s="9"/>
    </row>
    <row r="372" spans="6:6" ht="15.75" customHeight="1" x14ac:dyDescent="0.25">
      <c r="F372" s="9"/>
    </row>
    <row r="373" spans="6:6" ht="15.75" customHeight="1" x14ac:dyDescent="0.25">
      <c r="F373" s="9"/>
    </row>
    <row r="374" spans="6:6" ht="15.75" customHeight="1" x14ac:dyDescent="0.25">
      <c r="F374" s="9"/>
    </row>
    <row r="375" spans="6:6" ht="15.75" customHeight="1" x14ac:dyDescent="0.25">
      <c r="F375" s="9"/>
    </row>
    <row r="376" spans="6:6" ht="15.75" customHeight="1" x14ac:dyDescent="0.25">
      <c r="F376" s="9"/>
    </row>
    <row r="377" spans="6:6" ht="15.75" customHeight="1" x14ac:dyDescent="0.25">
      <c r="F377" s="9"/>
    </row>
    <row r="378" spans="6:6" ht="15.75" customHeight="1" x14ac:dyDescent="0.25">
      <c r="F378" s="9"/>
    </row>
    <row r="379" spans="6:6" ht="15.75" customHeight="1" x14ac:dyDescent="0.25">
      <c r="F379" s="9"/>
    </row>
    <row r="380" spans="6:6" ht="15.75" customHeight="1" x14ac:dyDescent="0.25">
      <c r="F380" s="9"/>
    </row>
    <row r="381" spans="6:6" ht="15.75" customHeight="1" x14ac:dyDescent="0.25">
      <c r="F381" s="9"/>
    </row>
    <row r="382" spans="6:6" ht="15.75" customHeight="1" x14ac:dyDescent="0.25">
      <c r="F382" s="9"/>
    </row>
    <row r="383" spans="6:6" ht="15.75" customHeight="1" x14ac:dyDescent="0.25">
      <c r="F383" s="9"/>
    </row>
    <row r="384" spans="6:6" ht="15.75" customHeight="1" x14ac:dyDescent="0.25">
      <c r="F384" s="9"/>
    </row>
    <row r="385" spans="6:6" ht="15.75" customHeight="1" x14ac:dyDescent="0.25">
      <c r="F385" s="9"/>
    </row>
    <row r="386" spans="6:6" ht="15.75" customHeight="1" x14ac:dyDescent="0.25">
      <c r="F386" s="9"/>
    </row>
    <row r="387" spans="6:6" ht="15.75" customHeight="1" x14ac:dyDescent="0.25">
      <c r="F387" s="9"/>
    </row>
    <row r="388" spans="6:6" ht="15.75" customHeight="1" x14ac:dyDescent="0.25">
      <c r="F388" s="9"/>
    </row>
    <row r="389" spans="6:6" ht="15.75" customHeight="1" x14ac:dyDescent="0.25">
      <c r="F389" s="9"/>
    </row>
    <row r="390" spans="6:6" ht="15.75" customHeight="1" x14ac:dyDescent="0.25">
      <c r="F390" s="9"/>
    </row>
    <row r="391" spans="6:6" ht="15.75" customHeight="1" x14ac:dyDescent="0.25">
      <c r="F391" s="9"/>
    </row>
    <row r="392" spans="6:6" ht="15.75" customHeight="1" x14ac:dyDescent="0.25">
      <c r="F392" s="9"/>
    </row>
    <row r="393" spans="6:6" ht="15.75" customHeight="1" x14ac:dyDescent="0.25">
      <c r="F393" s="9"/>
    </row>
    <row r="394" spans="6:6" ht="15.75" customHeight="1" x14ac:dyDescent="0.25">
      <c r="F394" s="9"/>
    </row>
    <row r="395" spans="6:6" ht="15.75" customHeight="1" x14ac:dyDescent="0.25">
      <c r="F395" s="9"/>
    </row>
    <row r="396" spans="6:6" ht="15.75" customHeight="1" x14ac:dyDescent="0.25">
      <c r="F396" s="9"/>
    </row>
    <row r="397" spans="6:6" ht="15.75" customHeight="1" x14ac:dyDescent="0.25">
      <c r="F397" s="9"/>
    </row>
    <row r="398" spans="6:6" ht="15.75" customHeight="1" x14ac:dyDescent="0.25">
      <c r="F398" s="9"/>
    </row>
    <row r="399" spans="6:6" ht="15.75" customHeight="1" x14ac:dyDescent="0.25">
      <c r="F399" s="9"/>
    </row>
    <row r="400" spans="6:6" ht="15.75" customHeight="1" x14ac:dyDescent="0.25">
      <c r="F400" s="9"/>
    </row>
    <row r="401" spans="6:6" ht="15.75" customHeight="1" x14ac:dyDescent="0.25">
      <c r="F401" s="9"/>
    </row>
    <row r="402" spans="6:6" ht="15.75" customHeight="1" x14ac:dyDescent="0.25">
      <c r="F402" s="9"/>
    </row>
    <row r="403" spans="6:6" ht="15.75" customHeight="1" x14ac:dyDescent="0.25">
      <c r="F403" s="9"/>
    </row>
    <row r="404" spans="6:6" ht="15.75" customHeight="1" x14ac:dyDescent="0.25">
      <c r="F404" s="9"/>
    </row>
    <row r="405" spans="6:6" ht="15.75" customHeight="1" x14ac:dyDescent="0.25">
      <c r="F405" s="9"/>
    </row>
    <row r="406" spans="6:6" ht="15.75" customHeight="1" x14ac:dyDescent="0.25">
      <c r="F406" s="9"/>
    </row>
    <row r="407" spans="6:6" ht="15.75" customHeight="1" x14ac:dyDescent="0.25">
      <c r="F407" s="9"/>
    </row>
    <row r="408" spans="6:6" ht="15.75" customHeight="1" x14ac:dyDescent="0.25">
      <c r="F408" s="9"/>
    </row>
    <row r="409" spans="6:6" ht="15.75" customHeight="1" x14ac:dyDescent="0.25">
      <c r="F409" s="9"/>
    </row>
    <row r="410" spans="6:6" ht="15.75" customHeight="1" x14ac:dyDescent="0.25">
      <c r="F410" s="9"/>
    </row>
    <row r="411" spans="6:6" ht="15.75" customHeight="1" x14ac:dyDescent="0.25">
      <c r="F411" s="9"/>
    </row>
    <row r="412" spans="6:6" ht="15.75" customHeight="1" x14ac:dyDescent="0.25">
      <c r="F412" s="9"/>
    </row>
    <row r="413" spans="6:6" ht="15.75" customHeight="1" x14ac:dyDescent="0.25">
      <c r="F413" s="9"/>
    </row>
    <row r="414" spans="6:6" ht="15.75" customHeight="1" x14ac:dyDescent="0.25">
      <c r="F414" s="9"/>
    </row>
    <row r="415" spans="6:6" ht="15.75" customHeight="1" x14ac:dyDescent="0.25">
      <c r="F415" s="9"/>
    </row>
    <row r="416" spans="6:6" ht="15.75" customHeight="1" x14ac:dyDescent="0.25">
      <c r="F416" s="9"/>
    </row>
    <row r="417" spans="6:6" ht="15.75" customHeight="1" x14ac:dyDescent="0.25">
      <c r="F417" s="9"/>
    </row>
    <row r="418" spans="6:6" ht="15.75" customHeight="1" x14ac:dyDescent="0.25">
      <c r="F418" s="9"/>
    </row>
    <row r="419" spans="6:6" ht="15.75" customHeight="1" x14ac:dyDescent="0.25">
      <c r="F419" s="9"/>
    </row>
    <row r="420" spans="6:6" ht="15.75" customHeight="1" x14ac:dyDescent="0.25">
      <c r="F420" s="9"/>
    </row>
    <row r="421" spans="6:6" ht="15.75" customHeight="1" x14ac:dyDescent="0.25">
      <c r="F421" s="9"/>
    </row>
    <row r="422" spans="6:6" ht="15.75" customHeight="1" x14ac:dyDescent="0.25">
      <c r="F422" s="9"/>
    </row>
    <row r="423" spans="6:6" ht="15.75" customHeight="1" x14ac:dyDescent="0.25">
      <c r="F423" s="9"/>
    </row>
    <row r="424" spans="6:6" ht="15.75" customHeight="1" x14ac:dyDescent="0.25">
      <c r="F424" s="9"/>
    </row>
    <row r="425" spans="6:6" ht="15.75" customHeight="1" x14ac:dyDescent="0.25">
      <c r="F425" s="9"/>
    </row>
    <row r="426" spans="6:6" ht="15.75" customHeight="1" x14ac:dyDescent="0.25">
      <c r="F426" s="9"/>
    </row>
    <row r="427" spans="6:6" ht="15.75" customHeight="1" x14ac:dyDescent="0.25">
      <c r="F427" s="9"/>
    </row>
    <row r="428" spans="6:6" ht="15.75" customHeight="1" x14ac:dyDescent="0.25">
      <c r="F428" s="9"/>
    </row>
    <row r="429" spans="6:6" ht="15.75" customHeight="1" x14ac:dyDescent="0.25">
      <c r="F429" s="9"/>
    </row>
    <row r="430" spans="6:6" ht="15.75" customHeight="1" x14ac:dyDescent="0.25">
      <c r="F430" s="9"/>
    </row>
    <row r="431" spans="6:6" ht="15.75" customHeight="1" x14ac:dyDescent="0.25">
      <c r="F431" s="9"/>
    </row>
    <row r="432" spans="6:6" ht="15.75" customHeight="1" x14ac:dyDescent="0.25">
      <c r="F432" s="9"/>
    </row>
    <row r="433" spans="6:6" ht="15.75" customHeight="1" x14ac:dyDescent="0.25">
      <c r="F433" s="9"/>
    </row>
    <row r="434" spans="6:6" ht="15.75" customHeight="1" x14ac:dyDescent="0.25">
      <c r="F434" s="9"/>
    </row>
    <row r="435" spans="6:6" ht="15.75" customHeight="1" x14ac:dyDescent="0.25">
      <c r="F435" s="9"/>
    </row>
    <row r="436" spans="6:6" ht="15.75" customHeight="1" x14ac:dyDescent="0.25">
      <c r="F436" s="9"/>
    </row>
    <row r="437" spans="6:6" ht="15.75" customHeight="1" x14ac:dyDescent="0.25">
      <c r="F437" s="9"/>
    </row>
    <row r="438" spans="6:6" ht="15.75" customHeight="1" x14ac:dyDescent="0.25">
      <c r="F438" s="9"/>
    </row>
    <row r="439" spans="6:6" ht="15.75" customHeight="1" x14ac:dyDescent="0.25">
      <c r="F439" s="9"/>
    </row>
    <row r="440" spans="6:6" ht="15.75" customHeight="1" x14ac:dyDescent="0.25">
      <c r="F440" s="9"/>
    </row>
    <row r="441" spans="6:6" ht="15.75" customHeight="1" x14ac:dyDescent="0.25">
      <c r="F441" s="9"/>
    </row>
    <row r="442" spans="6:6" ht="15.75" customHeight="1" x14ac:dyDescent="0.25">
      <c r="F442" s="9"/>
    </row>
    <row r="443" spans="6:6" ht="15.75" customHeight="1" x14ac:dyDescent="0.25">
      <c r="F443" s="9"/>
    </row>
    <row r="444" spans="6:6" ht="15.75" customHeight="1" x14ac:dyDescent="0.25">
      <c r="F444" s="9"/>
    </row>
    <row r="445" spans="6:6" ht="15.75" customHeight="1" x14ac:dyDescent="0.25">
      <c r="F445" s="9"/>
    </row>
    <row r="446" spans="6:6" ht="15.75" customHeight="1" x14ac:dyDescent="0.25">
      <c r="F446" s="9"/>
    </row>
    <row r="447" spans="6:6" ht="15.75" customHeight="1" x14ac:dyDescent="0.25">
      <c r="F447" s="9"/>
    </row>
    <row r="448" spans="6:6" ht="15.75" customHeight="1" x14ac:dyDescent="0.25">
      <c r="F448" s="9"/>
    </row>
    <row r="449" spans="6:6" ht="15.75" customHeight="1" x14ac:dyDescent="0.25">
      <c r="F449" s="9"/>
    </row>
    <row r="450" spans="6:6" ht="15.75" customHeight="1" x14ac:dyDescent="0.25">
      <c r="F450" s="9"/>
    </row>
    <row r="451" spans="6:6" ht="15.75" customHeight="1" x14ac:dyDescent="0.25">
      <c r="F451" s="9"/>
    </row>
    <row r="452" spans="6:6" ht="15.75" customHeight="1" x14ac:dyDescent="0.25">
      <c r="F452" s="9"/>
    </row>
    <row r="453" spans="6:6" ht="15.75" customHeight="1" x14ac:dyDescent="0.25">
      <c r="F453" s="9"/>
    </row>
    <row r="454" spans="6:6" ht="15.75" customHeight="1" x14ac:dyDescent="0.25">
      <c r="F454" s="9"/>
    </row>
    <row r="455" spans="6:6" ht="15.75" customHeight="1" x14ac:dyDescent="0.25">
      <c r="F455" s="9"/>
    </row>
    <row r="456" spans="6:6" ht="15.75" customHeight="1" x14ac:dyDescent="0.25">
      <c r="F456" s="9"/>
    </row>
    <row r="457" spans="6:6" ht="15.75" customHeight="1" x14ac:dyDescent="0.25">
      <c r="F457" s="9"/>
    </row>
    <row r="458" spans="6:6" ht="15.75" customHeight="1" x14ac:dyDescent="0.25">
      <c r="F458" s="9"/>
    </row>
    <row r="459" spans="6:6" ht="15.75" customHeight="1" x14ac:dyDescent="0.25">
      <c r="F459" s="9"/>
    </row>
    <row r="460" spans="6:6" ht="15.75" customHeight="1" x14ac:dyDescent="0.25">
      <c r="F460" s="9"/>
    </row>
    <row r="461" spans="6:6" ht="15.75" customHeight="1" x14ac:dyDescent="0.25">
      <c r="F461" s="9"/>
    </row>
    <row r="462" spans="6:6" ht="15.75" customHeight="1" x14ac:dyDescent="0.25">
      <c r="F462" s="9"/>
    </row>
    <row r="463" spans="6:6" ht="15.75" customHeight="1" x14ac:dyDescent="0.25">
      <c r="F463" s="9"/>
    </row>
    <row r="464" spans="6:6" ht="15.75" customHeight="1" x14ac:dyDescent="0.25">
      <c r="F464" s="9"/>
    </row>
    <row r="465" spans="6:6" ht="15.75" customHeight="1" x14ac:dyDescent="0.25">
      <c r="F465" s="9"/>
    </row>
    <row r="466" spans="6:6" ht="15.75" customHeight="1" x14ac:dyDescent="0.25">
      <c r="F466" s="9"/>
    </row>
    <row r="467" spans="6:6" ht="15.75" customHeight="1" x14ac:dyDescent="0.25">
      <c r="F467" s="9"/>
    </row>
    <row r="468" spans="6:6" ht="15.75" customHeight="1" x14ac:dyDescent="0.25">
      <c r="F468" s="9"/>
    </row>
    <row r="469" spans="6:6" ht="15.75" customHeight="1" x14ac:dyDescent="0.25">
      <c r="F469" s="9"/>
    </row>
    <row r="470" spans="6:6" ht="15.75" customHeight="1" x14ac:dyDescent="0.25">
      <c r="F470" s="9"/>
    </row>
    <row r="471" spans="6:6" ht="15.75" customHeight="1" x14ac:dyDescent="0.25">
      <c r="F471" s="9"/>
    </row>
    <row r="472" spans="6:6" ht="15.75" customHeight="1" x14ac:dyDescent="0.25">
      <c r="F472" s="9"/>
    </row>
    <row r="473" spans="6:6" ht="15.75" customHeight="1" x14ac:dyDescent="0.25">
      <c r="F473" s="9"/>
    </row>
    <row r="474" spans="6:6" ht="15.75" customHeight="1" x14ac:dyDescent="0.25">
      <c r="F474" s="9"/>
    </row>
    <row r="475" spans="6:6" ht="15.75" customHeight="1" x14ac:dyDescent="0.25">
      <c r="F475" s="9"/>
    </row>
    <row r="476" spans="6:6" ht="15.75" customHeight="1" x14ac:dyDescent="0.25">
      <c r="F476" s="9"/>
    </row>
    <row r="477" spans="6:6" ht="15.75" customHeight="1" x14ac:dyDescent="0.25">
      <c r="F477" s="9"/>
    </row>
    <row r="478" spans="6:6" ht="15.75" customHeight="1" x14ac:dyDescent="0.25">
      <c r="F478" s="9"/>
    </row>
    <row r="479" spans="6:6" ht="15.75" customHeight="1" x14ac:dyDescent="0.25">
      <c r="F479" s="9"/>
    </row>
    <row r="480" spans="6:6" ht="15.75" customHeight="1" x14ac:dyDescent="0.25">
      <c r="F480" s="9"/>
    </row>
    <row r="481" spans="6:6" ht="15.75" customHeight="1" x14ac:dyDescent="0.25">
      <c r="F481" s="9"/>
    </row>
    <row r="482" spans="6:6" ht="15.75" customHeight="1" x14ac:dyDescent="0.25">
      <c r="F482" s="9"/>
    </row>
    <row r="483" spans="6:6" ht="15.75" customHeight="1" x14ac:dyDescent="0.25">
      <c r="F483" s="9"/>
    </row>
    <row r="484" spans="6:6" ht="15.75" customHeight="1" x14ac:dyDescent="0.25">
      <c r="F484" s="9"/>
    </row>
    <row r="485" spans="6:6" ht="15.75" customHeight="1" x14ac:dyDescent="0.25">
      <c r="F485" s="9"/>
    </row>
    <row r="486" spans="6:6" ht="15.75" customHeight="1" x14ac:dyDescent="0.25">
      <c r="F486" s="9"/>
    </row>
    <row r="487" spans="6:6" ht="15.75" customHeight="1" x14ac:dyDescent="0.25">
      <c r="F487" s="9"/>
    </row>
    <row r="488" spans="6:6" ht="15.75" customHeight="1" x14ac:dyDescent="0.25">
      <c r="F488" s="9"/>
    </row>
    <row r="489" spans="6:6" ht="15.75" customHeight="1" x14ac:dyDescent="0.25">
      <c r="F489" s="9"/>
    </row>
    <row r="490" spans="6:6" ht="15.75" customHeight="1" x14ac:dyDescent="0.25">
      <c r="F490" s="9"/>
    </row>
    <row r="491" spans="6:6" ht="15.75" customHeight="1" x14ac:dyDescent="0.25">
      <c r="F491" s="9"/>
    </row>
    <row r="492" spans="6:6" ht="15.75" customHeight="1" x14ac:dyDescent="0.25">
      <c r="F492" s="9"/>
    </row>
    <row r="493" spans="6:6" ht="15.75" customHeight="1" x14ac:dyDescent="0.25">
      <c r="F493" s="9"/>
    </row>
    <row r="494" spans="6:6" ht="15.75" customHeight="1" x14ac:dyDescent="0.25">
      <c r="F494" s="9"/>
    </row>
    <row r="495" spans="6:6" ht="15.75" customHeight="1" x14ac:dyDescent="0.25">
      <c r="F495" s="9"/>
    </row>
    <row r="496" spans="6:6" ht="15.75" customHeight="1" x14ac:dyDescent="0.25">
      <c r="F496" s="9"/>
    </row>
    <row r="497" spans="6:6" ht="15.75" customHeight="1" x14ac:dyDescent="0.25">
      <c r="F497" s="9"/>
    </row>
    <row r="498" spans="6:6" ht="15.75" customHeight="1" x14ac:dyDescent="0.25">
      <c r="F498" s="9"/>
    </row>
    <row r="499" spans="6:6" ht="15.75" customHeight="1" x14ac:dyDescent="0.25">
      <c r="F499" s="9"/>
    </row>
    <row r="500" spans="6:6" ht="15.75" customHeight="1" x14ac:dyDescent="0.25">
      <c r="F500" s="9"/>
    </row>
    <row r="501" spans="6:6" ht="15.75" customHeight="1" x14ac:dyDescent="0.25">
      <c r="F501" s="9"/>
    </row>
    <row r="502" spans="6:6" ht="15.75" customHeight="1" x14ac:dyDescent="0.25">
      <c r="F502" s="9"/>
    </row>
    <row r="503" spans="6:6" ht="15.75" customHeight="1" x14ac:dyDescent="0.25">
      <c r="F503" s="9"/>
    </row>
    <row r="504" spans="6:6" ht="15.75" customHeight="1" x14ac:dyDescent="0.25">
      <c r="F504" s="9"/>
    </row>
    <row r="505" spans="6:6" ht="15.75" customHeight="1" x14ac:dyDescent="0.25">
      <c r="F505" s="9"/>
    </row>
    <row r="506" spans="6:6" ht="15.75" customHeight="1" x14ac:dyDescent="0.25">
      <c r="F506" s="9"/>
    </row>
    <row r="507" spans="6:6" ht="15.75" customHeight="1" x14ac:dyDescent="0.25">
      <c r="F507" s="9"/>
    </row>
    <row r="508" spans="6:6" ht="15.75" customHeight="1" x14ac:dyDescent="0.25">
      <c r="F508" s="9"/>
    </row>
    <row r="509" spans="6:6" ht="15.75" customHeight="1" x14ac:dyDescent="0.25">
      <c r="F509" s="9"/>
    </row>
    <row r="510" spans="6:6" ht="15.75" customHeight="1" x14ac:dyDescent="0.25">
      <c r="F510" s="9"/>
    </row>
    <row r="511" spans="6:6" ht="15.75" customHeight="1" x14ac:dyDescent="0.25">
      <c r="F511" s="9"/>
    </row>
    <row r="512" spans="6:6" ht="15.75" customHeight="1" x14ac:dyDescent="0.25">
      <c r="F512" s="9"/>
    </row>
    <row r="513" spans="6:6" ht="15.75" customHeight="1" x14ac:dyDescent="0.25">
      <c r="F513" s="9"/>
    </row>
    <row r="514" spans="6:6" ht="15.75" customHeight="1" x14ac:dyDescent="0.25">
      <c r="F514" s="9"/>
    </row>
    <row r="515" spans="6:6" ht="15.75" customHeight="1" x14ac:dyDescent="0.25">
      <c r="F515" s="9"/>
    </row>
    <row r="516" spans="6:6" ht="15.75" customHeight="1" x14ac:dyDescent="0.25">
      <c r="F516" s="9"/>
    </row>
    <row r="517" spans="6:6" ht="15.75" customHeight="1" x14ac:dyDescent="0.25">
      <c r="F517" s="9"/>
    </row>
    <row r="518" spans="6:6" ht="15.75" customHeight="1" x14ac:dyDescent="0.25">
      <c r="F518" s="9"/>
    </row>
    <row r="519" spans="6:6" ht="15.75" customHeight="1" x14ac:dyDescent="0.25">
      <c r="F519" s="9"/>
    </row>
    <row r="520" spans="6:6" ht="15.75" customHeight="1" x14ac:dyDescent="0.25">
      <c r="F520" s="9"/>
    </row>
    <row r="521" spans="6:6" ht="15.75" customHeight="1" x14ac:dyDescent="0.25">
      <c r="F521" s="9"/>
    </row>
    <row r="522" spans="6:6" ht="15.75" customHeight="1" x14ac:dyDescent="0.25">
      <c r="F522" s="9"/>
    </row>
    <row r="523" spans="6:6" ht="15.75" customHeight="1" x14ac:dyDescent="0.25">
      <c r="F523" s="9"/>
    </row>
    <row r="524" spans="6:6" ht="15.75" customHeight="1" x14ac:dyDescent="0.25">
      <c r="F524" s="9"/>
    </row>
    <row r="525" spans="6:6" ht="15.75" customHeight="1" x14ac:dyDescent="0.25">
      <c r="F525" s="9"/>
    </row>
    <row r="526" spans="6:6" ht="15.75" customHeight="1" x14ac:dyDescent="0.25">
      <c r="F526" s="9"/>
    </row>
    <row r="527" spans="6:6" ht="15.75" customHeight="1" x14ac:dyDescent="0.25">
      <c r="F527" s="9"/>
    </row>
    <row r="528" spans="6:6" ht="15.75" customHeight="1" x14ac:dyDescent="0.25">
      <c r="F528" s="9"/>
    </row>
    <row r="529" spans="6:6" ht="15.75" customHeight="1" x14ac:dyDescent="0.25">
      <c r="F529" s="9"/>
    </row>
    <row r="530" spans="6:6" ht="15.75" customHeight="1" x14ac:dyDescent="0.25">
      <c r="F530" s="9"/>
    </row>
    <row r="531" spans="6:6" ht="15.75" customHeight="1" x14ac:dyDescent="0.25">
      <c r="F531" s="9"/>
    </row>
    <row r="532" spans="6:6" ht="15.75" customHeight="1" x14ac:dyDescent="0.25">
      <c r="F532" s="9"/>
    </row>
    <row r="533" spans="6:6" ht="15.75" customHeight="1" x14ac:dyDescent="0.25">
      <c r="F533" s="9"/>
    </row>
    <row r="534" spans="6:6" ht="15.75" customHeight="1" x14ac:dyDescent="0.25">
      <c r="F534" s="9"/>
    </row>
    <row r="535" spans="6:6" ht="15.75" customHeight="1" x14ac:dyDescent="0.25">
      <c r="F535" s="9"/>
    </row>
    <row r="536" spans="6:6" ht="15.75" customHeight="1" x14ac:dyDescent="0.25">
      <c r="F536" s="9"/>
    </row>
    <row r="537" spans="6:6" ht="15.75" customHeight="1" x14ac:dyDescent="0.25">
      <c r="F537" s="9"/>
    </row>
    <row r="538" spans="6:6" ht="15.75" customHeight="1" x14ac:dyDescent="0.25">
      <c r="F538" s="9"/>
    </row>
    <row r="539" spans="6:6" ht="15.75" customHeight="1" x14ac:dyDescent="0.25">
      <c r="F539" s="9"/>
    </row>
    <row r="540" spans="6:6" ht="15.75" customHeight="1" x14ac:dyDescent="0.25">
      <c r="F540" s="9"/>
    </row>
    <row r="541" spans="6:6" ht="15.75" customHeight="1" x14ac:dyDescent="0.25">
      <c r="F541" s="9"/>
    </row>
    <row r="542" spans="6:6" ht="15.75" customHeight="1" x14ac:dyDescent="0.25">
      <c r="F542" s="9"/>
    </row>
    <row r="543" spans="6:6" ht="15.75" customHeight="1" x14ac:dyDescent="0.25">
      <c r="F543" s="9"/>
    </row>
    <row r="544" spans="6:6" ht="15.75" customHeight="1" x14ac:dyDescent="0.25">
      <c r="F544" s="9"/>
    </row>
    <row r="545" spans="6:6" ht="15.75" customHeight="1" x14ac:dyDescent="0.25">
      <c r="F545" s="9"/>
    </row>
    <row r="546" spans="6:6" ht="15.75" customHeight="1" x14ac:dyDescent="0.25">
      <c r="F546" s="9"/>
    </row>
    <row r="547" spans="6:6" ht="15.75" customHeight="1" x14ac:dyDescent="0.25">
      <c r="F547" s="9"/>
    </row>
    <row r="548" spans="6:6" ht="15.75" customHeight="1" x14ac:dyDescent="0.25">
      <c r="F548" s="9"/>
    </row>
    <row r="549" spans="6:6" ht="15.75" customHeight="1" x14ac:dyDescent="0.25">
      <c r="F549" s="9"/>
    </row>
    <row r="550" spans="6:6" ht="15.75" customHeight="1" x14ac:dyDescent="0.25">
      <c r="F550" s="9"/>
    </row>
    <row r="551" spans="6:6" ht="15.75" customHeight="1" x14ac:dyDescent="0.25">
      <c r="F551" s="9"/>
    </row>
    <row r="552" spans="6:6" ht="15.75" customHeight="1" x14ac:dyDescent="0.25">
      <c r="F552" s="9"/>
    </row>
    <row r="553" spans="6:6" ht="15.75" customHeight="1" x14ac:dyDescent="0.25">
      <c r="F553" s="9"/>
    </row>
    <row r="554" spans="6:6" ht="15.75" customHeight="1" x14ac:dyDescent="0.25">
      <c r="F554" s="9"/>
    </row>
    <row r="555" spans="6:6" ht="15.75" customHeight="1" x14ac:dyDescent="0.25">
      <c r="F555" s="9"/>
    </row>
    <row r="556" spans="6:6" ht="15.75" customHeight="1" x14ac:dyDescent="0.25">
      <c r="F556" s="9"/>
    </row>
    <row r="557" spans="6:6" ht="15.75" customHeight="1" x14ac:dyDescent="0.25">
      <c r="F557" s="9"/>
    </row>
    <row r="558" spans="6:6" ht="15.75" customHeight="1" x14ac:dyDescent="0.25">
      <c r="F558" s="9"/>
    </row>
    <row r="559" spans="6:6" ht="15.75" customHeight="1" x14ac:dyDescent="0.25">
      <c r="F559" s="9"/>
    </row>
    <row r="560" spans="6:6" ht="15.75" customHeight="1" x14ac:dyDescent="0.25">
      <c r="F560" s="9"/>
    </row>
    <row r="561" spans="6:6" ht="15.75" customHeight="1" x14ac:dyDescent="0.25">
      <c r="F561" s="9"/>
    </row>
    <row r="562" spans="6:6" ht="15.75" customHeight="1" x14ac:dyDescent="0.25">
      <c r="F562" s="9"/>
    </row>
    <row r="563" spans="6:6" ht="15.75" customHeight="1" x14ac:dyDescent="0.25">
      <c r="F563" s="9"/>
    </row>
    <row r="564" spans="6:6" ht="15.75" customHeight="1" x14ac:dyDescent="0.25">
      <c r="F564" s="9"/>
    </row>
    <row r="565" spans="6:6" ht="15.75" customHeight="1" x14ac:dyDescent="0.25">
      <c r="F565" s="9"/>
    </row>
    <row r="566" spans="6:6" ht="15.75" customHeight="1" x14ac:dyDescent="0.25">
      <c r="F566" s="9"/>
    </row>
    <row r="567" spans="6:6" ht="15.75" customHeight="1" x14ac:dyDescent="0.25">
      <c r="F567" s="9"/>
    </row>
    <row r="568" spans="6:6" ht="15.75" customHeight="1" x14ac:dyDescent="0.25">
      <c r="F568" s="9"/>
    </row>
    <row r="569" spans="6:6" ht="15.75" customHeight="1" x14ac:dyDescent="0.25">
      <c r="F569" s="9"/>
    </row>
    <row r="570" spans="6:6" ht="15.75" customHeight="1" x14ac:dyDescent="0.25">
      <c r="F570" s="9"/>
    </row>
    <row r="571" spans="6:6" ht="15.75" customHeight="1" x14ac:dyDescent="0.25">
      <c r="F571" s="9"/>
    </row>
    <row r="572" spans="6:6" ht="15.75" customHeight="1" x14ac:dyDescent="0.25">
      <c r="F572" s="9"/>
    </row>
    <row r="573" spans="6:6" ht="15.75" customHeight="1" x14ac:dyDescent="0.25">
      <c r="F573" s="9"/>
    </row>
    <row r="574" spans="6:6" ht="15.75" customHeight="1" x14ac:dyDescent="0.25">
      <c r="F574" s="9"/>
    </row>
    <row r="575" spans="6:6" ht="15.75" customHeight="1" x14ac:dyDescent="0.25">
      <c r="F575" s="9"/>
    </row>
    <row r="576" spans="6:6" ht="15.75" customHeight="1" x14ac:dyDescent="0.25">
      <c r="F576" s="9"/>
    </row>
    <row r="577" spans="6:6" ht="15.75" customHeight="1" x14ac:dyDescent="0.25">
      <c r="F577" s="9"/>
    </row>
    <row r="578" spans="6:6" ht="15.75" customHeight="1" x14ac:dyDescent="0.25">
      <c r="F578" s="9"/>
    </row>
    <row r="579" spans="6:6" ht="15.75" customHeight="1" x14ac:dyDescent="0.25">
      <c r="F579" s="9"/>
    </row>
    <row r="580" spans="6:6" ht="15.75" customHeight="1" x14ac:dyDescent="0.25">
      <c r="F580" s="9"/>
    </row>
    <row r="581" spans="6:6" ht="15.75" customHeight="1" x14ac:dyDescent="0.25">
      <c r="F581" s="9"/>
    </row>
    <row r="582" spans="6:6" ht="15.75" customHeight="1" x14ac:dyDescent="0.25">
      <c r="F582" s="9"/>
    </row>
    <row r="583" spans="6:6" ht="15.75" customHeight="1" x14ac:dyDescent="0.25">
      <c r="F583" s="9"/>
    </row>
    <row r="584" spans="6:6" ht="15.75" customHeight="1" x14ac:dyDescent="0.25">
      <c r="F584" s="9"/>
    </row>
    <row r="585" spans="6:6" ht="15.75" customHeight="1" x14ac:dyDescent="0.25">
      <c r="F585" s="9"/>
    </row>
    <row r="586" spans="6:6" ht="15.75" customHeight="1" x14ac:dyDescent="0.25">
      <c r="F586" s="9"/>
    </row>
    <row r="587" spans="6:6" ht="15.75" customHeight="1" x14ac:dyDescent="0.25">
      <c r="F587" s="9"/>
    </row>
    <row r="588" spans="6:6" ht="15.75" customHeight="1" x14ac:dyDescent="0.25">
      <c r="F588" s="9"/>
    </row>
    <row r="589" spans="6:6" ht="15.75" customHeight="1" x14ac:dyDescent="0.25">
      <c r="F589" s="9"/>
    </row>
    <row r="590" spans="6:6" ht="15.75" customHeight="1" x14ac:dyDescent="0.25">
      <c r="F590" s="9"/>
    </row>
    <row r="591" spans="6:6" ht="15.75" customHeight="1" x14ac:dyDescent="0.25">
      <c r="F591" s="9"/>
    </row>
    <row r="592" spans="6:6" ht="15.75" customHeight="1" x14ac:dyDescent="0.25">
      <c r="F592" s="9"/>
    </row>
    <row r="593" spans="6:6" ht="15.75" customHeight="1" x14ac:dyDescent="0.25">
      <c r="F593" s="9"/>
    </row>
    <row r="594" spans="6:6" ht="15.75" customHeight="1" x14ac:dyDescent="0.25">
      <c r="F594" s="9"/>
    </row>
    <row r="595" spans="6:6" ht="15.75" customHeight="1" x14ac:dyDescent="0.25">
      <c r="F595" s="9"/>
    </row>
    <row r="596" spans="6:6" ht="15.75" customHeight="1" x14ac:dyDescent="0.25">
      <c r="F596" s="9"/>
    </row>
    <row r="597" spans="6:6" ht="15.75" customHeight="1" x14ac:dyDescent="0.25">
      <c r="F597" s="9"/>
    </row>
    <row r="598" spans="6:6" ht="15.75" customHeight="1" x14ac:dyDescent="0.25">
      <c r="F598" s="9"/>
    </row>
    <row r="599" spans="6:6" ht="15.75" customHeight="1" x14ac:dyDescent="0.25">
      <c r="F599" s="9"/>
    </row>
    <row r="600" spans="6:6" ht="15.75" customHeight="1" x14ac:dyDescent="0.25">
      <c r="F600" s="9"/>
    </row>
    <row r="601" spans="6:6" ht="15.75" customHeight="1" x14ac:dyDescent="0.25">
      <c r="F601" s="9"/>
    </row>
    <row r="602" spans="6:6" ht="15.75" customHeight="1" x14ac:dyDescent="0.25">
      <c r="F602" s="9"/>
    </row>
    <row r="603" spans="6:6" ht="15.75" customHeight="1" x14ac:dyDescent="0.25">
      <c r="F603" s="9"/>
    </row>
    <row r="604" spans="6:6" ht="15.75" customHeight="1" x14ac:dyDescent="0.25">
      <c r="F604" s="9"/>
    </row>
    <row r="605" spans="6:6" ht="15.75" customHeight="1" x14ac:dyDescent="0.25">
      <c r="F605" s="9"/>
    </row>
    <row r="606" spans="6:6" ht="15.75" customHeight="1" x14ac:dyDescent="0.25">
      <c r="F606" s="9"/>
    </row>
    <row r="607" spans="6:6" ht="15.75" customHeight="1" x14ac:dyDescent="0.25">
      <c r="F607" s="9"/>
    </row>
    <row r="608" spans="6:6" ht="15.75" customHeight="1" x14ac:dyDescent="0.25">
      <c r="F608" s="9"/>
    </row>
    <row r="609" spans="6:6" ht="15.75" customHeight="1" x14ac:dyDescent="0.25">
      <c r="F609" s="9"/>
    </row>
    <row r="610" spans="6:6" ht="15.75" customHeight="1" x14ac:dyDescent="0.25">
      <c r="F610" s="9"/>
    </row>
    <row r="611" spans="6:6" ht="15.75" customHeight="1" x14ac:dyDescent="0.25">
      <c r="F611" s="9"/>
    </row>
    <row r="612" spans="6:6" ht="15.75" customHeight="1" x14ac:dyDescent="0.25">
      <c r="F612" s="9"/>
    </row>
    <row r="613" spans="6:6" ht="15.75" customHeight="1" x14ac:dyDescent="0.25">
      <c r="F613" s="9"/>
    </row>
    <row r="614" spans="6:6" ht="15.75" customHeight="1" x14ac:dyDescent="0.25">
      <c r="F614" s="9"/>
    </row>
    <row r="615" spans="6:6" ht="15.75" customHeight="1" x14ac:dyDescent="0.25">
      <c r="F615" s="9"/>
    </row>
    <row r="616" spans="6:6" ht="15.75" customHeight="1" x14ac:dyDescent="0.25">
      <c r="F616" s="9"/>
    </row>
    <row r="617" spans="6:6" ht="15.75" customHeight="1" x14ac:dyDescent="0.25">
      <c r="F617" s="9"/>
    </row>
    <row r="618" spans="6:6" ht="15.75" customHeight="1" x14ac:dyDescent="0.25">
      <c r="F618" s="9"/>
    </row>
    <row r="619" spans="6:6" ht="15.75" customHeight="1" x14ac:dyDescent="0.25">
      <c r="F619" s="9"/>
    </row>
    <row r="620" spans="6:6" ht="15.75" customHeight="1" x14ac:dyDescent="0.25">
      <c r="F620" s="9"/>
    </row>
    <row r="621" spans="6:6" ht="15.75" customHeight="1" x14ac:dyDescent="0.25">
      <c r="F621" s="9"/>
    </row>
    <row r="622" spans="6:6" ht="15.75" customHeight="1" x14ac:dyDescent="0.25">
      <c r="F622" s="9"/>
    </row>
    <row r="623" spans="6:6" ht="15.75" customHeight="1" x14ac:dyDescent="0.25">
      <c r="F623" s="9"/>
    </row>
    <row r="624" spans="6:6" ht="15.75" customHeight="1" x14ac:dyDescent="0.25">
      <c r="F624" s="9"/>
    </row>
    <row r="625" spans="6:6" ht="15.75" customHeight="1" x14ac:dyDescent="0.25">
      <c r="F625" s="9"/>
    </row>
    <row r="626" spans="6:6" ht="15.75" customHeight="1" x14ac:dyDescent="0.25">
      <c r="F626" s="9"/>
    </row>
    <row r="627" spans="6:6" ht="15.75" customHeight="1" x14ac:dyDescent="0.25">
      <c r="F627" s="9"/>
    </row>
    <row r="628" spans="6:6" ht="15.75" customHeight="1" x14ac:dyDescent="0.25">
      <c r="F628" s="9"/>
    </row>
    <row r="629" spans="6:6" ht="15.75" customHeight="1" x14ac:dyDescent="0.25">
      <c r="F629" s="9"/>
    </row>
    <row r="630" spans="6:6" ht="15.75" customHeight="1" x14ac:dyDescent="0.25">
      <c r="F630" s="9"/>
    </row>
    <row r="631" spans="6:6" ht="15.75" customHeight="1" x14ac:dyDescent="0.25">
      <c r="F631" s="9"/>
    </row>
    <row r="632" spans="6:6" ht="15.75" customHeight="1" x14ac:dyDescent="0.25">
      <c r="F632" s="9"/>
    </row>
    <row r="633" spans="6:6" ht="15.75" customHeight="1" x14ac:dyDescent="0.25">
      <c r="F633" s="9"/>
    </row>
    <row r="634" spans="6:6" ht="15.75" customHeight="1" x14ac:dyDescent="0.25">
      <c r="F634" s="9"/>
    </row>
    <row r="635" spans="6:6" ht="15.75" customHeight="1" x14ac:dyDescent="0.25">
      <c r="F635" s="9"/>
    </row>
    <row r="636" spans="6:6" ht="15.75" customHeight="1" x14ac:dyDescent="0.25">
      <c r="F636" s="9"/>
    </row>
    <row r="637" spans="6:6" ht="15.75" customHeight="1" x14ac:dyDescent="0.25">
      <c r="F637" s="9"/>
    </row>
    <row r="638" spans="6:6" ht="15.75" customHeight="1" x14ac:dyDescent="0.25">
      <c r="F638" s="9"/>
    </row>
    <row r="639" spans="6:6" ht="15.75" customHeight="1" x14ac:dyDescent="0.25">
      <c r="F639" s="9"/>
    </row>
    <row r="640" spans="6:6" ht="15.75" customHeight="1" x14ac:dyDescent="0.25">
      <c r="F640" s="9"/>
    </row>
    <row r="641" spans="6:6" ht="15.75" customHeight="1" x14ac:dyDescent="0.25">
      <c r="F641" s="9"/>
    </row>
    <row r="642" spans="6:6" ht="15.75" customHeight="1" x14ac:dyDescent="0.25">
      <c r="F642" s="9"/>
    </row>
    <row r="643" spans="6:6" ht="15.75" customHeight="1" x14ac:dyDescent="0.25">
      <c r="F643" s="9"/>
    </row>
    <row r="644" spans="6:6" ht="15.75" customHeight="1" x14ac:dyDescent="0.25">
      <c r="F644" s="9"/>
    </row>
    <row r="645" spans="6:6" ht="15.75" customHeight="1" x14ac:dyDescent="0.25">
      <c r="F645" s="9"/>
    </row>
    <row r="646" spans="6:6" ht="15.75" customHeight="1" x14ac:dyDescent="0.25">
      <c r="F646" s="9"/>
    </row>
    <row r="647" spans="6:6" ht="15.75" customHeight="1" x14ac:dyDescent="0.25">
      <c r="F647" s="9"/>
    </row>
    <row r="648" spans="6:6" ht="15.75" customHeight="1" x14ac:dyDescent="0.25">
      <c r="F648" s="9"/>
    </row>
    <row r="649" spans="6:6" ht="15.75" customHeight="1" x14ac:dyDescent="0.25">
      <c r="F649" s="9"/>
    </row>
    <row r="650" spans="6:6" ht="15.75" customHeight="1" x14ac:dyDescent="0.25">
      <c r="F650" s="9"/>
    </row>
    <row r="651" spans="6:6" ht="15.75" customHeight="1" x14ac:dyDescent="0.25">
      <c r="F651" s="9"/>
    </row>
    <row r="652" spans="6:6" ht="15.75" customHeight="1" x14ac:dyDescent="0.25">
      <c r="F652" s="9"/>
    </row>
    <row r="653" spans="6:6" ht="15.75" customHeight="1" x14ac:dyDescent="0.25">
      <c r="F653" s="9"/>
    </row>
    <row r="654" spans="6:6" ht="15.75" customHeight="1" x14ac:dyDescent="0.25">
      <c r="F654" s="9"/>
    </row>
    <row r="655" spans="6:6" ht="15.75" customHeight="1" x14ac:dyDescent="0.25">
      <c r="F655" s="9"/>
    </row>
    <row r="656" spans="6:6" ht="15.75" customHeight="1" x14ac:dyDescent="0.25">
      <c r="F656" s="9"/>
    </row>
    <row r="657" spans="6:6" ht="15.75" customHeight="1" x14ac:dyDescent="0.25">
      <c r="F657" s="9"/>
    </row>
    <row r="658" spans="6:6" ht="15.75" customHeight="1" x14ac:dyDescent="0.25">
      <c r="F658" s="9"/>
    </row>
    <row r="659" spans="6:6" ht="15.75" customHeight="1" x14ac:dyDescent="0.25">
      <c r="F659" s="9"/>
    </row>
    <row r="660" spans="6:6" ht="15.75" customHeight="1" x14ac:dyDescent="0.25">
      <c r="F660" s="9"/>
    </row>
    <row r="661" spans="6:6" ht="15.75" customHeight="1" x14ac:dyDescent="0.25">
      <c r="F661" s="9"/>
    </row>
    <row r="662" spans="6:6" ht="15.75" customHeight="1" x14ac:dyDescent="0.25">
      <c r="F662" s="9"/>
    </row>
    <row r="663" spans="6:6" ht="15.75" customHeight="1" x14ac:dyDescent="0.25">
      <c r="F663" s="9"/>
    </row>
    <row r="664" spans="6:6" ht="15.75" customHeight="1" x14ac:dyDescent="0.25">
      <c r="F664" s="9"/>
    </row>
    <row r="665" spans="6:6" ht="15.75" customHeight="1" x14ac:dyDescent="0.25">
      <c r="F665" s="9"/>
    </row>
    <row r="666" spans="6:6" ht="15.75" customHeight="1" x14ac:dyDescent="0.25">
      <c r="F666" s="9"/>
    </row>
    <row r="667" spans="6:6" ht="15.75" customHeight="1" x14ac:dyDescent="0.25">
      <c r="F667" s="9"/>
    </row>
    <row r="668" spans="6:6" ht="15.75" customHeight="1" x14ac:dyDescent="0.25">
      <c r="F668" s="9"/>
    </row>
    <row r="669" spans="6:6" ht="15.75" customHeight="1" x14ac:dyDescent="0.25">
      <c r="F669" s="9"/>
    </row>
    <row r="670" spans="6:6" ht="15.75" customHeight="1" x14ac:dyDescent="0.25">
      <c r="F670" s="9"/>
    </row>
    <row r="671" spans="6:6" ht="15.75" customHeight="1" x14ac:dyDescent="0.25">
      <c r="F671" s="9"/>
    </row>
    <row r="672" spans="6:6" ht="15.75" customHeight="1" x14ac:dyDescent="0.25">
      <c r="F672" s="9"/>
    </row>
    <row r="673" spans="6:6" ht="15.75" customHeight="1" x14ac:dyDescent="0.25">
      <c r="F673" s="9"/>
    </row>
    <row r="674" spans="6:6" ht="15.75" customHeight="1" x14ac:dyDescent="0.25">
      <c r="F674" s="9"/>
    </row>
    <row r="675" spans="6:6" ht="15.75" customHeight="1" x14ac:dyDescent="0.25">
      <c r="F675" s="9"/>
    </row>
    <row r="676" spans="6:6" ht="15.75" customHeight="1" x14ac:dyDescent="0.25">
      <c r="F676" s="9"/>
    </row>
    <row r="677" spans="6:6" ht="15.75" customHeight="1" x14ac:dyDescent="0.25">
      <c r="F677" s="9"/>
    </row>
    <row r="678" spans="6:6" ht="15.75" customHeight="1" x14ac:dyDescent="0.25">
      <c r="F678" s="9"/>
    </row>
    <row r="679" spans="6:6" ht="15.75" customHeight="1" x14ac:dyDescent="0.25">
      <c r="F679" s="9"/>
    </row>
    <row r="680" spans="6:6" ht="15.75" customHeight="1" x14ac:dyDescent="0.25">
      <c r="F680" s="9"/>
    </row>
    <row r="681" spans="6:6" ht="15.75" customHeight="1" x14ac:dyDescent="0.25">
      <c r="F681" s="9"/>
    </row>
    <row r="682" spans="6:6" ht="15.75" customHeight="1" x14ac:dyDescent="0.25">
      <c r="F682" s="9"/>
    </row>
    <row r="683" spans="6:6" ht="15.75" customHeight="1" x14ac:dyDescent="0.25">
      <c r="F683" s="9"/>
    </row>
    <row r="684" spans="6:6" ht="15.75" customHeight="1" x14ac:dyDescent="0.25">
      <c r="F684" s="9"/>
    </row>
    <row r="685" spans="6:6" ht="15.75" customHeight="1" x14ac:dyDescent="0.25">
      <c r="F685" s="9"/>
    </row>
    <row r="686" spans="6:6" ht="15.75" customHeight="1" x14ac:dyDescent="0.25">
      <c r="F686" s="9"/>
    </row>
    <row r="687" spans="6:6" ht="15.75" customHeight="1" x14ac:dyDescent="0.25">
      <c r="F687" s="9"/>
    </row>
    <row r="688" spans="6:6" ht="15.75" customHeight="1" x14ac:dyDescent="0.25">
      <c r="F688" s="9"/>
    </row>
    <row r="689" spans="6:6" ht="15.75" customHeight="1" x14ac:dyDescent="0.25">
      <c r="F689" s="9"/>
    </row>
    <row r="690" spans="6:6" ht="15.75" customHeight="1" x14ac:dyDescent="0.25">
      <c r="F690" s="9"/>
    </row>
    <row r="691" spans="6:6" ht="15.75" customHeight="1" x14ac:dyDescent="0.25">
      <c r="F691" s="9"/>
    </row>
    <row r="692" spans="6:6" ht="15.75" customHeight="1" x14ac:dyDescent="0.25">
      <c r="F692" s="9"/>
    </row>
    <row r="693" spans="6:6" ht="15.75" customHeight="1" x14ac:dyDescent="0.25">
      <c r="F693" s="9"/>
    </row>
    <row r="694" spans="6:6" ht="15.75" customHeight="1" x14ac:dyDescent="0.25">
      <c r="F694" s="9"/>
    </row>
    <row r="695" spans="6:6" ht="15.75" customHeight="1" x14ac:dyDescent="0.25">
      <c r="F695" s="9"/>
    </row>
    <row r="696" spans="6:6" ht="15.75" customHeight="1" x14ac:dyDescent="0.25">
      <c r="F696" s="9"/>
    </row>
    <row r="697" spans="6:6" ht="15.75" customHeight="1" x14ac:dyDescent="0.25">
      <c r="F697" s="9"/>
    </row>
    <row r="698" spans="6:6" ht="15.75" customHeight="1" x14ac:dyDescent="0.25">
      <c r="F698" s="9"/>
    </row>
    <row r="699" spans="6:6" ht="15.75" customHeight="1" x14ac:dyDescent="0.25">
      <c r="F699" s="9"/>
    </row>
    <row r="700" spans="6:6" ht="15.75" customHeight="1" x14ac:dyDescent="0.25">
      <c r="F700" s="9"/>
    </row>
    <row r="701" spans="6:6" ht="15.75" customHeight="1" x14ac:dyDescent="0.25">
      <c r="F701" s="9"/>
    </row>
    <row r="702" spans="6:6" ht="15.75" customHeight="1" x14ac:dyDescent="0.25">
      <c r="F702" s="9"/>
    </row>
    <row r="703" spans="6:6" ht="15.75" customHeight="1" x14ac:dyDescent="0.25">
      <c r="F703" s="9"/>
    </row>
    <row r="704" spans="6:6" ht="15.75" customHeight="1" x14ac:dyDescent="0.25">
      <c r="F704" s="9"/>
    </row>
    <row r="705" spans="6:6" ht="15.75" customHeight="1" x14ac:dyDescent="0.25">
      <c r="F705" s="9"/>
    </row>
    <row r="706" spans="6:6" ht="15.75" customHeight="1" x14ac:dyDescent="0.25">
      <c r="F706" s="9"/>
    </row>
    <row r="707" spans="6:6" ht="15.75" customHeight="1" x14ac:dyDescent="0.25">
      <c r="F707" s="9"/>
    </row>
    <row r="708" spans="6:6" ht="15.75" customHeight="1" x14ac:dyDescent="0.25">
      <c r="F708" s="9"/>
    </row>
    <row r="709" spans="6:6" ht="15.75" customHeight="1" x14ac:dyDescent="0.25">
      <c r="F709" s="9"/>
    </row>
    <row r="710" spans="6:6" ht="15.75" customHeight="1" x14ac:dyDescent="0.25">
      <c r="F710" s="9"/>
    </row>
    <row r="711" spans="6:6" ht="15.75" customHeight="1" x14ac:dyDescent="0.25">
      <c r="F711" s="9"/>
    </row>
    <row r="712" spans="6:6" ht="15.75" customHeight="1" x14ac:dyDescent="0.25">
      <c r="F712" s="9"/>
    </row>
    <row r="713" spans="6:6" ht="15.75" customHeight="1" x14ac:dyDescent="0.25">
      <c r="F713" s="9"/>
    </row>
    <row r="714" spans="6:6" ht="15.75" customHeight="1" x14ac:dyDescent="0.25">
      <c r="F714" s="9"/>
    </row>
    <row r="715" spans="6:6" ht="15.75" customHeight="1" x14ac:dyDescent="0.25">
      <c r="F715" s="9"/>
    </row>
    <row r="716" spans="6:6" ht="15.75" customHeight="1" x14ac:dyDescent="0.25">
      <c r="F716" s="9"/>
    </row>
    <row r="717" spans="6:6" ht="15.75" customHeight="1" x14ac:dyDescent="0.25">
      <c r="F717" s="9"/>
    </row>
    <row r="718" spans="6:6" ht="15.75" customHeight="1" x14ac:dyDescent="0.25">
      <c r="F718" s="9"/>
    </row>
    <row r="719" spans="6:6" ht="15.75" customHeight="1" x14ac:dyDescent="0.25">
      <c r="F719" s="9"/>
    </row>
    <row r="720" spans="6:6" ht="15.75" customHeight="1" x14ac:dyDescent="0.25">
      <c r="F720" s="9"/>
    </row>
    <row r="721" spans="6:6" ht="15.75" customHeight="1" x14ac:dyDescent="0.25">
      <c r="F721" s="9"/>
    </row>
    <row r="722" spans="6:6" ht="15.75" customHeight="1" x14ac:dyDescent="0.25">
      <c r="F722" s="9"/>
    </row>
    <row r="723" spans="6:6" ht="15.75" customHeight="1" x14ac:dyDescent="0.25">
      <c r="F723" s="9"/>
    </row>
    <row r="724" spans="6:6" ht="15.75" customHeight="1" x14ac:dyDescent="0.25">
      <c r="F724" s="9"/>
    </row>
    <row r="725" spans="6:6" ht="15.75" customHeight="1" x14ac:dyDescent="0.25">
      <c r="F725" s="9"/>
    </row>
    <row r="726" spans="6:6" ht="15.75" customHeight="1" x14ac:dyDescent="0.25">
      <c r="F726" s="9"/>
    </row>
    <row r="727" spans="6:6" ht="15.75" customHeight="1" x14ac:dyDescent="0.25">
      <c r="F727" s="9"/>
    </row>
    <row r="728" spans="6:6" ht="15.75" customHeight="1" x14ac:dyDescent="0.25">
      <c r="F728" s="9"/>
    </row>
    <row r="729" spans="6:6" ht="15.75" customHeight="1" x14ac:dyDescent="0.25">
      <c r="F729" s="9"/>
    </row>
    <row r="730" spans="6:6" ht="15.75" customHeight="1" x14ac:dyDescent="0.25">
      <c r="F730" s="9"/>
    </row>
    <row r="731" spans="6:6" ht="15.75" customHeight="1" x14ac:dyDescent="0.25">
      <c r="F731" s="9"/>
    </row>
    <row r="732" spans="6:6" ht="15.75" customHeight="1" x14ac:dyDescent="0.25">
      <c r="F732" s="9"/>
    </row>
    <row r="733" spans="6:6" ht="15.75" customHeight="1" x14ac:dyDescent="0.25">
      <c r="F733" s="9"/>
    </row>
    <row r="734" spans="6:6" ht="15.75" customHeight="1" x14ac:dyDescent="0.25">
      <c r="F734" s="9"/>
    </row>
    <row r="735" spans="6:6" ht="15.75" customHeight="1" x14ac:dyDescent="0.25">
      <c r="F735" s="9"/>
    </row>
    <row r="736" spans="6:6" ht="15.75" customHeight="1" x14ac:dyDescent="0.25">
      <c r="F736" s="9"/>
    </row>
    <row r="737" spans="6:6" ht="15.75" customHeight="1" x14ac:dyDescent="0.25">
      <c r="F737" s="9"/>
    </row>
    <row r="738" spans="6:6" ht="15.75" customHeight="1" x14ac:dyDescent="0.25">
      <c r="F738" s="9"/>
    </row>
    <row r="739" spans="6:6" ht="15.75" customHeight="1" x14ac:dyDescent="0.25">
      <c r="F739" s="9"/>
    </row>
    <row r="740" spans="6:6" ht="15.75" customHeight="1" x14ac:dyDescent="0.25">
      <c r="F740" s="9"/>
    </row>
    <row r="741" spans="6:6" ht="15.75" customHeight="1" x14ac:dyDescent="0.25">
      <c r="F741" s="9"/>
    </row>
    <row r="742" spans="6:6" ht="15.75" customHeight="1" x14ac:dyDescent="0.25">
      <c r="F742" s="9"/>
    </row>
    <row r="743" spans="6:6" ht="15.75" customHeight="1" x14ac:dyDescent="0.25">
      <c r="F743" s="9"/>
    </row>
    <row r="744" spans="6:6" ht="15.75" customHeight="1" x14ac:dyDescent="0.25">
      <c r="F744" s="9"/>
    </row>
    <row r="745" spans="6:6" ht="15.75" customHeight="1" x14ac:dyDescent="0.25">
      <c r="F745" s="9"/>
    </row>
    <row r="746" spans="6:6" ht="15.75" customHeight="1" x14ac:dyDescent="0.25">
      <c r="F746" s="9"/>
    </row>
    <row r="747" spans="6:6" ht="15.75" customHeight="1" x14ac:dyDescent="0.25">
      <c r="F747" s="9"/>
    </row>
    <row r="748" spans="6:6" ht="15.75" customHeight="1" x14ac:dyDescent="0.25">
      <c r="F748" s="9"/>
    </row>
    <row r="749" spans="6:6" ht="15.75" customHeight="1" x14ac:dyDescent="0.25">
      <c r="F749" s="9"/>
    </row>
    <row r="750" spans="6:6" ht="15.75" customHeight="1" x14ac:dyDescent="0.25">
      <c r="F750" s="9"/>
    </row>
    <row r="751" spans="6:6" ht="15.75" customHeight="1" x14ac:dyDescent="0.25">
      <c r="F751" s="9"/>
    </row>
    <row r="752" spans="6:6" ht="15.75" customHeight="1" x14ac:dyDescent="0.25">
      <c r="F752" s="9"/>
    </row>
    <row r="753" spans="6:6" ht="15.75" customHeight="1" x14ac:dyDescent="0.25">
      <c r="F753" s="9"/>
    </row>
    <row r="754" spans="6:6" ht="15.75" customHeight="1" x14ac:dyDescent="0.25">
      <c r="F754" s="9"/>
    </row>
    <row r="755" spans="6:6" ht="15.75" customHeight="1" x14ac:dyDescent="0.25">
      <c r="F755" s="9"/>
    </row>
    <row r="756" spans="6:6" ht="15.75" customHeight="1" x14ac:dyDescent="0.25">
      <c r="F756" s="9"/>
    </row>
    <row r="757" spans="6:6" ht="15.75" customHeight="1" x14ac:dyDescent="0.25">
      <c r="F757" s="9"/>
    </row>
    <row r="758" spans="6:6" ht="15.75" customHeight="1" x14ac:dyDescent="0.25">
      <c r="F758" s="9"/>
    </row>
    <row r="759" spans="6:6" ht="15.75" customHeight="1" x14ac:dyDescent="0.25">
      <c r="F759" s="9"/>
    </row>
    <row r="760" spans="6:6" ht="15.75" customHeight="1" x14ac:dyDescent="0.25">
      <c r="F760" s="9"/>
    </row>
    <row r="761" spans="6:6" ht="15.75" customHeight="1" x14ac:dyDescent="0.25">
      <c r="F761" s="9"/>
    </row>
    <row r="762" spans="6:6" ht="15.75" customHeight="1" x14ac:dyDescent="0.25">
      <c r="F762" s="9"/>
    </row>
    <row r="763" spans="6:6" ht="15.75" customHeight="1" x14ac:dyDescent="0.25">
      <c r="F763" s="9"/>
    </row>
    <row r="764" spans="6:6" ht="15.75" customHeight="1" x14ac:dyDescent="0.25">
      <c r="F764" s="9"/>
    </row>
    <row r="765" spans="6:6" ht="15.75" customHeight="1" x14ac:dyDescent="0.25">
      <c r="F765" s="9"/>
    </row>
    <row r="766" spans="6:6" ht="15.75" customHeight="1" x14ac:dyDescent="0.25">
      <c r="F766" s="9"/>
    </row>
    <row r="767" spans="6:6" ht="15.75" customHeight="1" x14ac:dyDescent="0.25">
      <c r="F767" s="9"/>
    </row>
    <row r="768" spans="6:6" ht="15.75" customHeight="1" x14ac:dyDescent="0.25">
      <c r="F768" s="9"/>
    </row>
    <row r="769" spans="6:6" ht="15.75" customHeight="1" x14ac:dyDescent="0.25">
      <c r="F769" s="9"/>
    </row>
    <row r="770" spans="6:6" ht="15.75" customHeight="1" x14ac:dyDescent="0.25">
      <c r="F770" s="9"/>
    </row>
    <row r="771" spans="6:6" ht="15.75" customHeight="1" x14ac:dyDescent="0.25">
      <c r="F771" s="9"/>
    </row>
    <row r="772" spans="6:6" ht="15.75" customHeight="1" x14ac:dyDescent="0.25">
      <c r="F772" s="9"/>
    </row>
    <row r="773" spans="6:6" ht="15.75" customHeight="1" x14ac:dyDescent="0.25">
      <c r="F773" s="9"/>
    </row>
    <row r="774" spans="6:6" ht="15.75" customHeight="1" x14ac:dyDescent="0.25">
      <c r="F774" s="9"/>
    </row>
    <row r="775" spans="6:6" ht="15.75" customHeight="1" x14ac:dyDescent="0.25">
      <c r="F775" s="9"/>
    </row>
    <row r="776" spans="6:6" ht="15.75" customHeight="1" x14ac:dyDescent="0.25">
      <c r="F776" s="9"/>
    </row>
    <row r="777" spans="6:6" ht="15.75" customHeight="1" x14ac:dyDescent="0.25">
      <c r="F777" s="9"/>
    </row>
    <row r="778" spans="6:6" ht="15.75" customHeight="1" x14ac:dyDescent="0.25">
      <c r="F778" s="9"/>
    </row>
    <row r="779" spans="6:6" ht="15.75" customHeight="1" x14ac:dyDescent="0.25">
      <c r="F779" s="9"/>
    </row>
    <row r="780" spans="6:6" ht="15.75" customHeight="1" x14ac:dyDescent="0.25">
      <c r="F780" s="9"/>
    </row>
    <row r="781" spans="6:6" ht="15.75" customHeight="1" x14ac:dyDescent="0.25">
      <c r="F781" s="9"/>
    </row>
    <row r="782" spans="6:6" ht="15.75" customHeight="1" x14ac:dyDescent="0.25">
      <c r="F782" s="9"/>
    </row>
    <row r="783" spans="6:6" ht="15.75" customHeight="1" x14ac:dyDescent="0.25">
      <c r="F783" s="9"/>
    </row>
    <row r="784" spans="6:6" ht="15.75" customHeight="1" x14ac:dyDescent="0.25">
      <c r="F784" s="9"/>
    </row>
    <row r="785" spans="6:6" ht="15.75" customHeight="1" x14ac:dyDescent="0.25">
      <c r="F785" s="9"/>
    </row>
    <row r="786" spans="6:6" ht="15.75" customHeight="1" x14ac:dyDescent="0.25">
      <c r="F786" s="9"/>
    </row>
    <row r="787" spans="6:6" ht="15.75" customHeight="1" x14ac:dyDescent="0.25">
      <c r="F787" s="9"/>
    </row>
    <row r="788" spans="6:6" ht="15.75" customHeight="1" x14ac:dyDescent="0.25">
      <c r="F788" s="9"/>
    </row>
    <row r="789" spans="6:6" ht="15.75" customHeight="1" x14ac:dyDescent="0.25">
      <c r="F789" s="9"/>
    </row>
    <row r="790" spans="6:6" ht="15.75" customHeight="1" x14ac:dyDescent="0.25">
      <c r="F790" s="9"/>
    </row>
    <row r="791" spans="6:6" ht="15.75" customHeight="1" x14ac:dyDescent="0.25">
      <c r="F791" s="9"/>
    </row>
    <row r="792" spans="6:6" ht="15.75" customHeight="1" x14ac:dyDescent="0.25">
      <c r="F792" s="9"/>
    </row>
    <row r="793" spans="6:6" ht="15.75" customHeight="1" x14ac:dyDescent="0.25">
      <c r="F793" s="9"/>
    </row>
    <row r="794" spans="6:6" ht="15.75" customHeight="1" x14ac:dyDescent="0.25">
      <c r="F794" s="9"/>
    </row>
    <row r="795" spans="6:6" ht="15.75" customHeight="1" x14ac:dyDescent="0.25">
      <c r="F795" s="9"/>
    </row>
    <row r="796" spans="6:6" ht="15.75" customHeight="1" x14ac:dyDescent="0.25">
      <c r="F796" s="9"/>
    </row>
    <row r="797" spans="6:6" ht="15.75" customHeight="1" x14ac:dyDescent="0.25">
      <c r="F797" s="9"/>
    </row>
    <row r="798" spans="6:6" ht="15.75" customHeight="1" x14ac:dyDescent="0.25">
      <c r="F798" s="9"/>
    </row>
    <row r="799" spans="6:6" ht="15.75" customHeight="1" x14ac:dyDescent="0.25">
      <c r="F799" s="9"/>
    </row>
    <row r="800" spans="6:6" ht="15.75" customHeight="1" x14ac:dyDescent="0.25">
      <c r="F800" s="9"/>
    </row>
    <row r="801" spans="6:6" ht="15.75" customHeight="1" x14ac:dyDescent="0.25">
      <c r="F801" s="9"/>
    </row>
    <row r="802" spans="6:6" ht="15.75" customHeight="1" x14ac:dyDescent="0.25">
      <c r="F802" s="9"/>
    </row>
    <row r="803" spans="6:6" ht="15.75" customHeight="1" x14ac:dyDescent="0.25">
      <c r="F803" s="9"/>
    </row>
    <row r="804" spans="6:6" ht="15.75" customHeight="1" x14ac:dyDescent="0.25">
      <c r="F804" s="9"/>
    </row>
    <row r="805" spans="6:6" ht="15.75" customHeight="1" x14ac:dyDescent="0.25">
      <c r="F805" s="9"/>
    </row>
    <row r="806" spans="6:6" ht="15.75" customHeight="1" x14ac:dyDescent="0.25">
      <c r="F806" s="9"/>
    </row>
    <row r="807" spans="6:6" ht="15.75" customHeight="1" x14ac:dyDescent="0.25">
      <c r="F807" s="9"/>
    </row>
    <row r="808" spans="6:6" ht="15.75" customHeight="1" x14ac:dyDescent="0.25">
      <c r="F808" s="9"/>
    </row>
    <row r="809" spans="6:6" ht="15.75" customHeight="1" x14ac:dyDescent="0.25">
      <c r="F809" s="9"/>
    </row>
    <row r="810" spans="6:6" ht="15.75" customHeight="1" x14ac:dyDescent="0.25">
      <c r="F810" s="9"/>
    </row>
    <row r="811" spans="6:6" ht="15.75" customHeight="1" x14ac:dyDescent="0.25">
      <c r="F811" s="9"/>
    </row>
    <row r="812" spans="6:6" ht="15.75" customHeight="1" x14ac:dyDescent="0.25">
      <c r="F812" s="9"/>
    </row>
    <row r="813" spans="6:6" ht="15.75" customHeight="1" x14ac:dyDescent="0.25">
      <c r="F813" s="9"/>
    </row>
    <row r="814" spans="6:6" ht="15.75" customHeight="1" x14ac:dyDescent="0.25">
      <c r="F814" s="9"/>
    </row>
    <row r="815" spans="6:6" ht="15.75" customHeight="1" x14ac:dyDescent="0.25">
      <c r="F815" s="9"/>
    </row>
    <row r="816" spans="6:6" ht="15.75" customHeight="1" x14ac:dyDescent="0.25">
      <c r="F816" s="9"/>
    </row>
    <row r="817" spans="6:6" ht="15.75" customHeight="1" x14ac:dyDescent="0.25">
      <c r="F817" s="9"/>
    </row>
    <row r="818" spans="6:6" ht="15.75" customHeight="1" x14ac:dyDescent="0.25">
      <c r="F818" s="9"/>
    </row>
    <row r="819" spans="6:6" ht="15.75" customHeight="1" x14ac:dyDescent="0.25">
      <c r="F819" s="9"/>
    </row>
    <row r="820" spans="6:6" ht="15.75" customHeight="1" x14ac:dyDescent="0.25">
      <c r="F820" s="9"/>
    </row>
    <row r="821" spans="6:6" ht="15.75" customHeight="1" x14ac:dyDescent="0.25">
      <c r="F821" s="9"/>
    </row>
    <row r="822" spans="6:6" ht="15.75" customHeight="1" x14ac:dyDescent="0.25">
      <c r="F822" s="9"/>
    </row>
    <row r="823" spans="6:6" ht="15.75" customHeight="1" x14ac:dyDescent="0.25">
      <c r="F823" s="9"/>
    </row>
    <row r="824" spans="6:6" ht="15.75" customHeight="1" x14ac:dyDescent="0.25">
      <c r="F824" s="9"/>
    </row>
    <row r="825" spans="6:6" ht="15.75" customHeight="1" x14ac:dyDescent="0.25">
      <c r="F825" s="9"/>
    </row>
    <row r="826" spans="6:6" ht="15.75" customHeight="1" x14ac:dyDescent="0.25">
      <c r="F826" s="9"/>
    </row>
    <row r="827" spans="6:6" ht="15.75" customHeight="1" x14ac:dyDescent="0.25">
      <c r="F827" s="9"/>
    </row>
    <row r="828" spans="6:6" ht="15.75" customHeight="1" x14ac:dyDescent="0.25">
      <c r="F828" s="9"/>
    </row>
    <row r="829" spans="6:6" ht="15.75" customHeight="1" x14ac:dyDescent="0.25">
      <c r="F829" s="9"/>
    </row>
    <row r="830" spans="6:6" ht="15.75" customHeight="1" x14ac:dyDescent="0.25">
      <c r="F830" s="9"/>
    </row>
    <row r="831" spans="6:6" ht="15.75" customHeight="1" x14ac:dyDescent="0.25">
      <c r="F831" s="9"/>
    </row>
    <row r="832" spans="6:6" ht="15.75" customHeight="1" x14ac:dyDescent="0.25">
      <c r="F832" s="9"/>
    </row>
    <row r="833" spans="6:6" ht="15.75" customHeight="1" x14ac:dyDescent="0.25">
      <c r="F833" s="9"/>
    </row>
    <row r="834" spans="6:6" ht="15.75" customHeight="1" x14ac:dyDescent="0.25">
      <c r="F834" s="9"/>
    </row>
    <row r="835" spans="6:6" ht="15.75" customHeight="1" x14ac:dyDescent="0.25">
      <c r="F835" s="9"/>
    </row>
    <row r="836" spans="6:6" ht="15.75" customHeight="1" x14ac:dyDescent="0.25">
      <c r="F836" s="9"/>
    </row>
    <row r="837" spans="6:6" ht="15.75" customHeight="1" x14ac:dyDescent="0.25">
      <c r="F837" s="9"/>
    </row>
    <row r="838" spans="6:6" ht="15.75" customHeight="1" x14ac:dyDescent="0.25">
      <c r="F838" s="9"/>
    </row>
    <row r="839" spans="6:6" ht="15.75" customHeight="1" x14ac:dyDescent="0.25">
      <c r="F839" s="9"/>
    </row>
    <row r="840" spans="6:6" ht="15.75" customHeight="1" x14ac:dyDescent="0.25">
      <c r="F840" s="9"/>
    </row>
    <row r="841" spans="6:6" ht="15.75" customHeight="1" x14ac:dyDescent="0.25">
      <c r="F841" s="9"/>
    </row>
    <row r="842" spans="6:6" ht="15.75" customHeight="1" x14ac:dyDescent="0.25">
      <c r="F842" s="9"/>
    </row>
    <row r="843" spans="6:6" ht="15.75" customHeight="1" x14ac:dyDescent="0.25">
      <c r="F843" s="9"/>
    </row>
    <row r="844" spans="6:6" ht="15.75" customHeight="1" x14ac:dyDescent="0.25">
      <c r="F844" s="9"/>
    </row>
    <row r="845" spans="6:6" ht="15.75" customHeight="1" x14ac:dyDescent="0.25">
      <c r="F845" s="9"/>
    </row>
    <row r="846" spans="6:6" ht="15.75" customHeight="1" x14ac:dyDescent="0.25">
      <c r="F846" s="9"/>
    </row>
    <row r="847" spans="6:6" ht="15.75" customHeight="1" x14ac:dyDescent="0.25">
      <c r="F847" s="9"/>
    </row>
    <row r="848" spans="6:6" ht="15.75" customHeight="1" x14ac:dyDescent="0.25">
      <c r="F848" s="9"/>
    </row>
    <row r="849" spans="6:6" ht="15.75" customHeight="1" x14ac:dyDescent="0.25">
      <c r="F849" s="9"/>
    </row>
    <row r="850" spans="6:6" ht="15.75" customHeight="1" x14ac:dyDescent="0.25">
      <c r="F850" s="9"/>
    </row>
    <row r="851" spans="6:6" ht="15.75" customHeight="1" x14ac:dyDescent="0.25">
      <c r="F851" s="9"/>
    </row>
    <row r="852" spans="6:6" ht="15.75" customHeight="1" x14ac:dyDescent="0.25">
      <c r="F852" s="9"/>
    </row>
    <row r="853" spans="6:6" ht="15.75" customHeight="1" x14ac:dyDescent="0.25">
      <c r="F853" s="9"/>
    </row>
    <row r="854" spans="6:6" ht="15.75" customHeight="1" x14ac:dyDescent="0.25">
      <c r="F854" s="9"/>
    </row>
    <row r="855" spans="6:6" ht="15.75" customHeight="1" x14ac:dyDescent="0.25">
      <c r="F855" s="9"/>
    </row>
    <row r="856" spans="6:6" ht="15.75" customHeight="1" x14ac:dyDescent="0.25">
      <c r="F856" s="9"/>
    </row>
    <row r="857" spans="6:6" ht="15.75" customHeight="1" x14ac:dyDescent="0.25">
      <c r="F857" s="9"/>
    </row>
    <row r="858" spans="6:6" ht="15.75" customHeight="1" x14ac:dyDescent="0.25">
      <c r="F858" s="9"/>
    </row>
    <row r="859" spans="6:6" ht="15.75" customHeight="1" x14ac:dyDescent="0.25">
      <c r="F859" s="9"/>
    </row>
    <row r="860" spans="6:6" ht="15.75" customHeight="1" x14ac:dyDescent="0.25">
      <c r="F860" s="9"/>
    </row>
    <row r="861" spans="6:6" ht="15.75" customHeight="1" x14ac:dyDescent="0.25">
      <c r="F861" s="9"/>
    </row>
    <row r="862" spans="6:6" ht="15.75" customHeight="1" x14ac:dyDescent="0.25">
      <c r="F862" s="9"/>
    </row>
    <row r="863" spans="6:6" ht="15.75" customHeight="1" x14ac:dyDescent="0.25">
      <c r="F863" s="9"/>
    </row>
    <row r="864" spans="6:6" ht="15.75" customHeight="1" x14ac:dyDescent="0.25">
      <c r="F864" s="9"/>
    </row>
    <row r="865" spans="6:6" ht="15.75" customHeight="1" x14ac:dyDescent="0.25">
      <c r="F865" s="9"/>
    </row>
    <row r="866" spans="6:6" ht="15.75" customHeight="1" x14ac:dyDescent="0.25">
      <c r="F866" s="9"/>
    </row>
    <row r="867" spans="6:6" ht="15.75" customHeight="1" x14ac:dyDescent="0.25">
      <c r="F867" s="9"/>
    </row>
    <row r="868" spans="6:6" ht="15.75" customHeight="1" x14ac:dyDescent="0.25">
      <c r="F868" s="9"/>
    </row>
    <row r="869" spans="6:6" ht="15.75" customHeight="1" x14ac:dyDescent="0.25">
      <c r="F869" s="9"/>
    </row>
    <row r="870" spans="6:6" ht="15.75" customHeight="1" x14ac:dyDescent="0.25">
      <c r="F870" s="9"/>
    </row>
    <row r="871" spans="6:6" ht="15.75" customHeight="1" x14ac:dyDescent="0.25">
      <c r="F871" s="9"/>
    </row>
    <row r="872" spans="6:6" ht="15.75" customHeight="1" x14ac:dyDescent="0.25">
      <c r="F872" s="9"/>
    </row>
    <row r="873" spans="6:6" ht="15.75" customHeight="1" x14ac:dyDescent="0.25">
      <c r="F873" s="9"/>
    </row>
    <row r="874" spans="6:6" ht="15.75" customHeight="1" x14ac:dyDescent="0.25">
      <c r="F874" s="9"/>
    </row>
    <row r="875" spans="6:6" ht="15.75" customHeight="1" x14ac:dyDescent="0.25">
      <c r="F875" s="9"/>
    </row>
    <row r="876" spans="6:6" ht="15.75" customHeight="1" x14ac:dyDescent="0.25">
      <c r="F876" s="9"/>
    </row>
    <row r="877" spans="6:6" ht="15.75" customHeight="1" x14ac:dyDescent="0.25">
      <c r="F877" s="9"/>
    </row>
    <row r="878" spans="6:6" ht="15.75" customHeight="1" x14ac:dyDescent="0.25">
      <c r="F878" s="9"/>
    </row>
    <row r="879" spans="6:6" ht="15.75" customHeight="1" x14ac:dyDescent="0.25">
      <c r="F879" s="9"/>
    </row>
    <row r="880" spans="6:6" ht="15.75" customHeight="1" x14ac:dyDescent="0.25">
      <c r="F880" s="9"/>
    </row>
    <row r="881" spans="6:6" ht="15.75" customHeight="1" x14ac:dyDescent="0.25">
      <c r="F881" s="9"/>
    </row>
    <row r="882" spans="6:6" ht="15.75" customHeight="1" x14ac:dyDescent="0.25">
      <c r="F882" s="9"/>
    </row>
    <row r="883" spans="6:6" ht="15.75" customHeight="1" x14ac:dyDescent="0.25">
      <c r="F883" s="9"/>
    </row>
    <row r="884" spans="6:6" ht="15.75" customHeight="1" x14ac:dyDescent="0.25">
      <c r="F884" s="9"/>
    </row>
    <row r="885" spans="6:6" ht="15.75" customHeight="1" x14ac:dyDescent="0.25">
      <c r="F885" s="9"/>
    </row>
    <row r="886" spans="6:6" ht="15.75" customHeight="1" x14ac:dyDescent="0.25">
      <c r="F886" s="9"/>
    </row>
    <row r="887" spans="6:6" ht="15.75" customHeight="1" x14ac:dyDescent="0.25">
      <c r="F887" s="9"/>
    </row>
    <row r="888" spans="6:6" ht="15.75" customHeight="1" x14ac:dyDescent="0.25">
      <c r="F888" s="9"/>
    </row>
    <row r="889" spans="6:6" ht="15.75" customHeight="1" x14ac:dyDescent="0.25">
      <c r="F889" s="9"/>
    </row>
    <row r="890" spans="6:6" ht="15.75" customHeight="1" x14ac:dyDescent="0.25">
      <c r="F890" s="9"/>
    </row>
    <row r="891" spans="6:6" ht="15.75" customHeight="1" x14ac:dyDescent="0.25">
      <c r="F891" s="9"/>
    </row>
    <row r="892" spans="6:6" ht="15.75" customHeight="1" x14ac:dyDescent="0.25">
      <c r="F892" s="9"/>
    </row>
    <row r="893" spans="6:6" ht="15.75" customHeight="1" x14ac:dyDescent="0.25">
      <c r="F893" s="9"/>
    </row>
    <row r="894" spans="6:6" ht="15.75" customHeight="1" x14ac:dyDescent="0.25">
      <c r="F894" s="9"/>
    </row>
    <row r="895" spans="6:6" ht="15.75" customHeight="1" x14ac:dyDescent="0.25">
      <c r="F895" s="9"/>
    </row>
    <row r="896" spans="6:6" ht="15.75" customHeight="1" x14ac:dyDescent="0.25">
      <c r="F896" s="9"/>
    </row>
    <row r="897" spans="6:6" ht="15.75" customHeight="1" x14ac:dyDescent="0.25">
      <c r="F897" s="9"/>
    </row>
    <row r="898" spans="6:6" ht="15.75" customHeight="1" x14ac:dyDescent="0.25">
      <c r="F898" s="9"/>
    </row>
    <row r="899" spans="6:6" ht="15.75" customHeight="1" x14ac:dyDescent="0.25">
      <c r="F899" s="9"/>
    </row>
    <row r="900" spans="6:6" ht="15.75" customHeight="1" x14ac:dyDescent="0.25">
      <c r="F900" s="9"/>
    </row>
    <row r="901" spans="6:6" ht="15.75" customHeight="1" x14ac:dyDescent="0.25">
      <c r="F901" s="9"/>
    </row>
    <row r="902" spans="6:6" ht="15.75" customHeight="1" x14ac:dyDescent="0.25">
      <c r="F902" s="9"/>
    </row>
    <row r="903" spans="6:6" ht="15.75" customHeight="1" x14ac:dyDescent="0.25">
      <c r="F903" s="9"/>
    </row>
    <row r="904" spans="6:6" ht="15.75" customHeight="1" x14ac:dyDescent="0.25">
      <c r="F904" s="9"/>
    </row>
    <row r="905" spans="6:6" ht="15.75" customHeight="1" x14ac:dyDescent="0.25">
      <c r="F905" s="9"/>
    </row>
    <row r="906" spans="6:6" ht="15.75" customHeight="1" x14ac:dyDescent="0.25">
      <c r="F906" s="9"/>
    </row>
    <row r="907" spans="6:6" ht="15.75" customHeight="1" x14ac:dyDescent="0.25">
      <c r="F907" s="9"/>
    </row>
    <row r="908" spans="6:6" ht="15.75" customHeight="1" x14ac:dyDescent="0.25">
      <c r="F908" s="9"/>
    </row>
    <row r="909" spans="6:6" ht="15.75" customHeight="1" x14ac:dyDescent="0.25">
      <c r="F909" s="9"/>
    </row>
    <row r="910" spans="6:6" ht="15.75" customHeight="1" x14ac:dyDescent="0.25">
      <c r="F910" s="9"/>
    </row>
    <row r="911" spans="6:6" ht="15.75" customHeight="1" x14ac:dyDescent="0.25">
      <c r="F911" s="9"/>
    </row>
    <row r="912" spans="6:6" ht="15.75" customHeight="1" x14ac:dyDescent="0.25">
      <c r="F912" s="9"/>
    </row>
    <row r="913" spans="6:6" ht="15.75" customHeight="1" x14ac:dyDescent="0.25">
      <c r="F913" s="9"/>
    </row>
    <row r="914" spans="6:6" ht="15.75" customHeight="1" x14ac:dyDescent="0.25">
      <c r="F914" s="9"/>
    </row>
    <row r="915" spans="6:6" ht="15.75" customHeight="1" x14ac:dyDescent="0.25">
      <c r="F915" s="9"/>
    </row>
    <row r="916" spans="6:6" ht="15.75" customHeight="1" x14ac:dyDescent="0.25">
      <c r="F916" s="9"/>
    </row>
    <row r="917" spans="6:6" ht="15.75" customHeight="1" x14ac:dyDescent="0.25">
      <c r="F917" s="9"/>
    </row>
    <row r="918" spans="6:6" ht="15.75" customHeight="1" x14ac:dyDescent="0.25">
      <c r="F918" s="9"/>
    </row>
    <row r="919" spans="6:6" ht="15.75" customHeight="1" x14ac:dyDescent="0.25">
      <c r="F919" s="9"/>
    </row>
    <row r="920" spans="6:6" ht="15.75" customHeight="1" x14ac:dyDescent="0.25">
      <c r="F920" s="9"/>
    </row>
    <row r="921" spans="6:6" ht="15.75" customHeight="1" x14ac:dyDescent="0.25">
      <c r="F921" s="9"/>
    </row>
    <row r="922" spans="6:6" ht="15.75" customHeight="1" x14ac:dyDescent="0.25">
      <c r="F922" s="9"/>
    </row>
    <row r="923" spans="6:6" ht="15.75" customHeight="1" x14ac:dyDescent="0.25">
      <c r="F923" s="9"/>
    </row>
    <row r="924" spans="6:6" ht="15.75" customHeight="1" x14ac:dyDescent="0.25">
      <c r="F924" s="9"/>
    </row>
    <row r="925" spans="6:6" ht="15.75" customHeight="1" x14ac:dyDescent="0.25">
      <c r="F925" s="9"/>
    </row>
    <row r="926" spans="6:6" ht="15.75" customHeight="1" x14ac:dyDescent="0.25">
      <c r="F926" s="9"/>
    </row>
    <row r="927" spans="6:6" ht="15.75" customHeight="1" x14ac:dyDescent="0.25">
      <c r="F927" s="9"/>
    </row>
    <row r="928" spans="6:6" ht="15.75" customHeight="1" x14ac:dyDescent="0.25">
      <c r="F928" s="9"/>
    </row>
    <row r="929" spans="6:6" ht="15.75" customHeight="1" x14ac:dyDescent="0.25">
      <c r="F929" s="9"/>
    </row>
    <row r="930" spans="6:6" ht="15.75" customHeight="1" x14ac:dyDescent="0.25">
      <c r="F930" s="9"/>
    </row>
    <row r="931" spans="6:6" ht="15.75" customHeight="1" x14ac:dyDescent="0.25">
      <c r="F931" s="9"/>
    </row>
    <row r="932" spans="6:6" ht="15.75" customHeight="1" x14ac:dyDescent="0.25">
      <c r="F932" s="9"/>
    </row>
    <row r="933" spans="6:6" ht="15.75" customHeight="1" x14ac:dyDescent="0.25">
      <c r="F933" s="9"/>
    </row>
    <row r="934" spans="6:6" ht="15.75" customHeight="1" x14ac:dyDescent="0.25">
      <c r="F934" s="9"/>
    </row>
    <row r="935" spans="6:6" ht="15.75" customHeight="1" x14ac:dyDescent="0.25">
      <c r="F935" s="9"/>
    </row>
    <row r="936" spans="6:6" ht="15.75" customHeight="1" x14ac:dyDescent="0.25">
      <c r="F936" s="9"/>
    </row>
    <row r="937" spans="6:6" ht="15.75" customHeight="1" x14ac:dyDescent="0.25">
      <c r="F937" s="9"/>
    </row>
    <row r="938" spans="6:6" ht="15.75" customHeight="1" x14ac:dyDescent="0.25">
      <c r="F938" s="9"/>
    </row>
    <row r="939" spans="6:6" ht="15.75" customHeight="1" x14ac:dyDescent="0.25">
      <c r="F939" s="9"/>
    </row>
    <row r="940" spans="6:6" ht="15.75" customHeight="1" x14ac:dyDescent="0.25">
      <c r="F940" s="9"/>
    </row>
    <row r="941" spans="6:6" ht="15.75" customHeight="1" x14ac:dyDescent="0.25">
      <c r="F941" s="9"/>
    </row>
    <row r="942" spans="6:6" ht="15.75" customHeight="1" x14ac:dyDescent="0.25">
      <c r="F942" s="9"/>
    </row>
    <row r="943" spans="6:6" ht="15.75" customHeight="1" x14ac:dyDescent="0.25">
      <c r="F943" s="9"/>
    </row>
    <row r="944" spans="6:6" ht="15.75" customHeight="1" x14ac:dyDescent="0.25">
      <c r="F944" s="9"/>
    </row>
    <row r="945" spans="6:6" ht="15.75" customHeight="1" x14ac:dyDescent="0.25">
      <c r="F945" s="9"/>
    </row>
    <row r="946" spans="6:6" ht="15.75" customHeight="1" x14ac:dyDescent="0.25">
      <c r="F946" s="9"/>
    </row>
    <row r="947" spans="6:6" ht="15.75" customHeight="1" x14ac:dyDescent="0.25">
      <c r="F947" s="9"/>
    </row>
    <row r="948" spans="6:6" ht="15.75" customHeight="1" x14ac:dyDescent="0.25">
      <c r="F948" s="9"/>
    </row>
    <row r="949" spans="6:6" ht="15.75" customHeight="1" x14ac:dyDescent="0.25">
      <c r="F949" s="9"/>
    </row>
    <row r="950" spans="6:6" ht="15.75" customHeight="1" x14ac:dyDescent="0.25">
      <c r="F950" s="9"/>
    </row>
    <row r="951" spans="6:6" ht="15.75" customHeight="1" x14ac:dyDescent="0.25">
      <c r="F951" s="9"/>
    </row>
    <row r="952" spans="6:6" ht="15.75" customHeight="1" x14ac:dyDescent="0.25">
      <c r="F952" s="9"/>
    </row>
    <row r="953" spans="6:6" ht="15.75" customHeight="1" x14ac:dyDescent="0.25">
      <c r="F953" s="9"/>
    </row>
    <row r="954" spans="6:6" ht="15.75" customHeight="1" x14ac:dyDescent="0.25">
      <c r="F954" s="9"/>
    </row>
    <row r="955" spans="6:6" ht="15.75" customHeight="1" x14ac:dyDescent="0.25">
      <c r="F955" s="9"/>
    </row>
    <row r="956" spans="6:6" ht="15.75" customHeight="1" x14ac:dyDescent="0.25">
      <c r="F956" s="9"/>
    </row>
    <row r="957" spans="6:6" ht="15.75" customHeight="1" x14ac:dyDescent="0.25">
      <c r="F957" s="9"/>
    </row>
    <row r="958" spans="6:6" ht="15.75" customHeight="1" x14ac:dyDescent="0.25">
      <c r="F958" s="9"/>
    </row>
    <row r="959" spans="6:6" ht="15.75" customHeight="1" x14ac:dyDescent="0.25">
      <c r="F959" s="9"/>
    </row>
    <row r="960" spans="6:6" ht="15.75" customHeight="1" x14ac:dyDescent="0.25">
      <c r="F960" s="9"/>
    </row>
    <row r="961" spans="6:6" ht="15.75" customHeight="1" x14ac:dyDescent="0.25">
      <c r="F961" s="9"/>
    </row>
    <row r="962" spans="6:6" ht="15.75" customHeight="1" x14ac:dyDescent="0.25">
      <c r="F962" s="9"/>
    </row>
    <row r="963" spans="6:6" ht="15.75" customHeight="1" x14ac:dyDescent="0.25">
      <c r="F963" s="9"/>
    </row>
    <row r="964" spans="6:6" ht="15.75" customHeight="1" x14ac:dyDescent="0.25">
      <c r="F964" s="9"/>
    </row>
    <row r="965" spans="6:6" ht="15.75" customHeight="1" x14ac:dyDescent="0.25">
      <c r="F965" s="9"/>
    </row>
    <row r="966" spans="6:6" ht="15.75" customHeight="1" x14ac:dyDescent="0.25">
      <c r="F966" s="9"/>
    </row>
    <row r="967" spans="6:6" ht="15.75" customHeight="1" x14ac:dyDescent="0.25">
      <c r="F967" s="9"/>
    </row>
    <row r="968" spans="6:6" ht="15.75" customHeight="1" x14ac:dyDescent="0.25">
      <c r="F968" s="9"/>
    </row>
    <row r="969" spans="6:6" ht="15.75" customHeight="1" x14ac:dyDescent="0.25">
      <c r="F969" s="9"/>
    </row>
    <row r="970" spans="6:6" ht="15.75" customHeight="1" x14ac:dyDescent="0.25">
      <c r="F970" s="9"/>
    </row>
    <row r="971" spans="6:6" ht="15.75" customHeight="1" x14ac:dyDescent="0.25">
      <c r="F971" s="9"/>
    </row>
    <row r="972" spans="6:6" ht="15.75" customHeight="1" x14ac:dyDescent="0.25">
      <c r="F972" s="9"/>
    </row>
    <row r="973" spans="6:6" ht="15.75" customHeight="1" x14ac:dyDescent="0.25">
      <c r="F973" s="9"/>
    </row>
    <row r="974" spans="6:6" ht="15.75" customHeight="1" x14ac:dyDescent="0.25">
      <c r="F974" s="9"/>
    </row>
    <row r="975" spans="6:6" ht="15.75" customHeight="1" x14ac:dyDescent="0.25">
      <c r="F975" s="9"/>
    </row>
    <row r="976" spans="6:6" ht="15.75" customHeight="1" x14ac:dyDescent="0.25">
      <c r="F976" s="9"/>
    </row>
    <row r="977" spans="6:6" ht="15.75" customHeight="1" x14ac:dyDescent="0.25">
      <c r="F977" s="9"/>
    </row>
    <row r="978" spans="6:6" ht="15.75" customHeight="1" x14ac:dyDescent="0.25">
      <c r="F978" s="9"/>
    </row>
    <row r="979" spans="6:6" ht="15.75" customHeight="1" x14ac:dyDescent="0.25">
      <c r="F979" s="9"/>
    </row>
    <row r="980" spans="6:6" ht="15.75" customHeight="1" x14ac:dyDescent="0.25">
      <c r="F980" s="9"/>
    </row>
    <row r="981" spans="6:6" ht="15.75" customHeight="1" x14ac:dyDescent="0.25">
      <c r="F981" s="9"/>
    </row>
    <row r="982" spans="6:6" ht="15.75" customHeight="1" x14ac:dyDescent="0.25">
      <c r="F982" s="9"/>
    </row>
    <row r="983" spans="6:6" ht="15.75" customHeight="1" x14ac:dyDescent="0.25">
      <c r="F983" s="9"/>
    </row>
    <row r="984" spans="6:6" ht="15.75" customHeight="1" x14ac:dyDescent="0.25">
      <c r="F984" s="9"/>
    </row>
    <row r="985" spans="6:6" ht="15.75" customHeight="1" x14ac:dyDescent="0.25">
      <c r="F985" s="9"/>
    </row>
    <row r="986" spans="6:6" ht="15.75" customHeight="1" x14ac:dyDescent="0.25">
      <c r="F986" s="9"/>
    </row>
    <row r="987" spans="6:6" ht="15.75" customHeight="1" x14ac:dyDescent="0.25">
      <c r="F987" s="9"/>
    </row>
    <row r="988" spans="6:6" ht="15.75" customHeight="1" x14ac:dyDescent="0.25">
      <c r="F988" s="9"/>
    </row>
    <row r="989" spans="6:6" ht="15.75" customHeight="1" x14ac:dyDescent="0.25">
      <c r="F989" s="9"/>
    </row>
    <row r="990" spans="6:6" ht="15.75" customHeight="1" x14ac:dyDescent="0.25">
      <c r="F990" s="9"/>
    </row>
    <row r="991" spans="6:6" ht="15.75" customHeight="1" x14ac:dyDescent="0.25">
      <c r="F991" s="9"/>
    </row>
    <row r="992" spans="6:6" ht="15.75" customHeight="1" x14ac:dyDescent="0.25">
      <c r="F992" s="9"/>
    </row>
    <row r="993" spans="6:6" ht="15.75" customHeight="1" x14ac:dyDescent="0.25">
      <c r="F993" s="9"/>
    </row>
    <row r="994" spans="6:6" ht="15.75" customHeight="1" x14ac:dyDescent="0.25">
      <c r="F994" s="9"/>
    </row>
    <row r="995" spans="6:6" ht="15.75" customHeight="1" x14ac:dyDescent="0.25">
      <c r="F995" s="9"/>
    </row>
    <row r="996" spans="6:6" ht="15.75" customHeight="1" x14ac:dyDescent="0.25">
      <c r="F996" s="9"/>
    </row>
    <row r="997" spans="6:6" ht="15.75" customHeight="1" x14ac:dyDescent="0.25">
      <c r="F997" s="9"/>
    </row>
    <row r="998" spans="6:6" ht="15.75" customHeight="1" x14ac:dyDescent="0.25">
      <c r="F998" s="9"/>
    </row>
    <row r="999" spans="6:6" ht="15.75" customHeight="1" x14ac:dyDescent="0.25">
      <c r="F999" s="9"/>
    </row>
    <row r="1000" spans="6:6" ht="15.75" customHeight="1" x14ac:dyDescent="0.25">
      <c r="F1000" s="9"/>
    </row>
  </sheetData>
  <mergeCells count="11">
    <mergeCell ref="G9:I9"/>
    <mergeCell ref="G10:I11"/>
    <mergeCell ref="L10:N11"/>
    <mergeCell ref="A13:Q13"/>
    <mergeCell ref="A1:Q1"/>
    <mergeCell ref="A3:Q3"/>
    <mergeCell ref="G5:H5"/>
    <mergeCell ref="G6:H6"/>
    <mergeCell ref="B9:D9"/>
    <mergeCell ref="L9:N9"/>
    <mergeCell ref="B10:D11"/>
  </mergeCells>
  <conditionalFormatting sqref="A20:E79">
    <cfRule type="expression" dxfId="8" priority="1">
      <formula>$A20&lt;=TODAY()</formula>
    </cfRule>
  </conditionalFormatting>
  <conditionalFormatting sqref="B10">
    <cfRule type="cellIs" dxfId="7" priority="2" operator="equal">
      <formula>0</formula>
    </cfRule>
  </conditionalFormatting>
  <conditionalFormatting sqref="B10">
    <cfRule type="cellIs" dxfId="6" priority="3" operator="greaterThan">
      <formula>0</formula>
    </cfRule>
  </conditionalFormatting>
  <conditionalFormatting sqref="G10">
    <cfRule type="cellIs" dxfId="5" priority="4" operator="greaterThan">
      <formula>0</formula>
    </cfRule>
  </conditionalFormatting>
  <conditionalFormatting sqref="G10">
    <cfRule type="cellIs" dxfId="4" priority="5" operator="equal">
      <formula>0</formula>
    </cfRule>
  </conditionalFormatting>
  <conditionalFormatting sqref="L10">
    <cfRule type="cellIs" dxfId="3" priority="6" operator="lessThan">
      <formula>0</formula>
    </cfRule>
  </conditionalFormatting>
  <conditionalFormatting sqref="L10">
    <cfRule type="cellIs" dxfId="2" priority="7" operator="equal">
      <formula>0</formula>
    </cfRule>
  </conditionalFormatting>
  <conditionalFormatting sqref="L10">
    <cfRule type="cellIs" dxfId="1" priority="8" operator="greaterThan">
      <formula>0</formula>
    </cfRule>
  </conditionalFormatting>
  <dataValidations count="1">
    <dataValidation type="list" allowBlank="1" showErrorMessage="1" sqref="I5" xr:uid="{00000000-0002-0000-0200-000002000000}">
      <formula1>Contas</formula1>
    </dataValidation>
  </dataValidations>
  <pageMargins left="0.511811024" right="0.511811024" top="0.78740157499999996" bottom="0.78740157499999996" header="0" footer="0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InputMessage="1" showErrorMessage="1" prompt="Selecionar Ano - Selecione o ano inicial do gráfico do Fluxo de Caixa." xr:uid="{00000000-0002-0000-0200-000000000000}">
          <x14:formula1>
            <xm:f>AND($B$16&gt;=YEAR(MIN('Fluxo de Caixa'!$A:$A)),$B$16&lt;=YEAR(MAX('Fluxo de Caixa'!$A:$A)))</xm:f>
          </x14:formula1>
          <xm:sqref>B16</xm:sqref>
        </x14:dataValidation>
        <x14:dataValidation type="list" allowBlank="1" showInputMessage="1" showErrorMessage="1" prompt="Selecionar Mês - Selecione o mês inicial do gráfico do Fluxo de Caixa." xr:uid="{00000000-0002-0000-0200-000001000000}">
          <x14:formula1>
            <xm:f>Auxiliar!$A$1:$A$12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E1000"/>
  <sheetViews>
    <sheetView workbookViewId="0">
      <selection activeCell="E27" sqref="E27"/>
    </sheetView>
  </sheetViews>
  <sheetFormatPr defaultColWidth="14.42578125" defaultRowHeight="15" customHeight="1" x14ac:dyDescent="0.25"/>
  <cols>
    <col min="1" max="4" width="8.7109375" customWidth="1"/>
    <col min="5" max="5" width="47.85546875" customWidth="1"/>
    <col min="6" max="26" width="8.7109375" customWidth="1"/>
  </cols>
  <sheetData>
    <row r="1" spans="1:5" x14ac:dyDescent="0.25">
      <c r="A1" s="5" t="s">
        <v>155</v>
      </c>
      <c r="B1" s="5">
        <v>1</v>
      </c>
      <c r="D1" s="5" t="s">
        <v>159</v>
      </c>
      <c r="E1" s="15">
        <f>MIN(Resumo!A:A)</f>
        <v>43466</v>
      </c>
    </row>
    <row r="2" spans="1:5" x14ac:dyDescent="0.25">
      <c r="A2" s="5" t="s">
        <v>160</v>
      </c>
      <c r="B2" s="5">
        <v>2</v>
      </c>
      <c r="D2" s="5" t="s">
        <v>161</v>
      </c>
      <c r="E2" s="15">
        <f t="array" ref="E2">MAX(IF(Resumo!B:B&gt;0,Resumo!A:A))</f>
        <v>43983</v>
      </c>
    </row>
    <row r="3" spans="1:5" x14ac:dyDescent="0.25">
      <c r="A3" s="5" t="s">
        <v>162</v>
      </c>
      <c r="B3" s="5">
        <v>3</v>
      </c>
    </row>
    <row r="4" spans="1:5" x14ac:dyDescent="0.25">
      <c r="A4" s="5" t="s">
        <v>163</v>
      </c>
      <c r="B4" s="5">
        <v>4</v>
      </c>
      <c r="D4" s="5" t="s">
        <v>164</v>
      </c>
      <c r="E4" s="5" t="str">
        <f>"Fluxo de Caixa para para o período " &amp; TEXT(E1,"mmm/aa") &amp; " até " &amp; TEXT(E2,"mmm/aa")</f>
        <v>Fluxo de Caixa para para o período jan/19 até jun/20</v>
      </c>
    </row>
    <row r="5" spans="1:5" x14ac:dyDescent="0.25">
      <c r="A5" s="5" t="s">
        <v>165</v>
      </c>
      <c r="B5" s="5">
        <v>5</v>
      </c>
    </row>
    <row r="6" spans="1:5" x14ac:dyDescent="0.25">
      <c r="A6" s="5" t="s">
        <v>166</v>
      </c>
      <c r="B6" s="5">
        <v>6</v>
      </c>
    </row>
    <row r="7" spans="1:5" x14ac:dyDescent="0.25">
      <c r="A7" s="5" t="s">
        <v>167</v>
      </c>
      <c r="B7" s="5">
        <v>7</v>
      </c>
    </row>
    <row r="8" spans="1:5" x14ac:dyDescent="0.25">
      <c r="A8" s="5" t="s">
        <v>168</v>
      </c>
      <c r="B8" s="5">
        <v>8</v>
      </c>
    </row>
    <row r="9" spans="1:5" x14ac:dyDescent="0.25">
      <c r="A9" s="5" t="s">
        <v>169</v>
      </c>
      <c r="B9" s="5">
        <v>9</v>
      </c>
    </row>
    <row r="10" spans="1:5" x14ac:dyDescent="0.25">
      <c r="A10" s="5" t="s">
        <v>170</v>
      </c>
      <c r="B10" s="5">
        <v>10</v>
      </c>
    </row>
    <row r="11" spans="1:5" x14ac:dyDescent="0.25">
      <c r="A11" s="5" t="s">
        <v>171</v>
      </c>
      <c r="B11" s="5">
        <v>11</v>
      </c>
    </row>
    <row r="12" spans="1:5" x14ac:dyDescent="0.25">
      <c r="A12" s="5" t="s">
        <v>172</v>
      </c>
      <c r="B12" s="5">
        <v>12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511811024" right="0.511811024" top="0.78740157499999996" bottom="0.78740157499999996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F1000"/>
  <sheetViews>
    <sheetView showGridLines="0" workbookViewId="0"/>
  </sheetViews>
  <sheetFormatPr defaultColWidth="14.42578125" defaultRowHeight="15" customHeight="1" x14ac:dyDescent="0.25"/>
  <cols>
    <col min="1" max="1" width="18.85546875" customWidth="1"/>
    <col min="2" max="6" width="23.7109375" customWidth="1"/>
    <col min="7" max="26" width="8.7109375" customWidth="1"/>
  </cols>
  <sheetData>
    <row r="1" spans="1:6" x14ac:dyDescent="0.25">
      <c r="A1" s="14" t="s">
        <v>12</v>
      </c>
      <c r="B1" s="14" t="s">
        <v>25</v>
      </c>
      <c r="C1" s="14" t="s">
        <v>143</v>
      </c>
      <c r="D1" s="14" t="s">
        <v>6</v>
      </c>
      <c r="E1" s="14" t="s">
        <v>173</v>
      </c>
      <c r="F1" s="14" t="s">
        <v>174</v>
      </c>
    </row>
    <row r="2" spans="1:6" x14ac:dyDescent="0.25">
      <c r="A2" s="17" t="s">
        <v>26</v>
      </c>
      <c r="B2" s="17" t="s">
        <v>57</v>
      </c>
      <c r="C2" s="17" t="s">
        <v>144</v>
      </c>
      <c r="D2" s="17" t="s">
        <v>47</v>
      </c>
      <c r="E2" s="17" t="s">
        <v>16</v>
      </c>
      <c r="F2" s="17" t="s">
        <v>40</v>
      </c>
    </row>
    <row r="3" spans="1:6" x14ac:dyDescent="0.25">
      <c r="A3" s="17" t="s">
        <v>33</v>
      </c>
      <c r="B3" s="17" t="s">
        <v>175</v>
      </c>
      <c r="C3" s="17" t="s">
        <v>145</v>
      </c>
      <c r="D3" s="17" t="s">
        <v>32</v>
      </c>
      <c r="E3" s="17" t="s">
        <v>31</v>
      </c>
      <c r="F3" s="17" t="s">
        <v>24</v>
      </c>
    </row>
    <row r="4" spans="1:6" x14ac:dyDescent="0.25">
      <c r="A4" s="17" t="s">
        <v>20</v>
      </c>
      <c r="B4" s="17" t="s">
        <v>106</v>
      </c>
      <c r="C4" s="17"/>
      <c r="D4" s="17" t="s">
        <v>28</v>
      </c>
      <c r="E4" s="17" t="s">
        <v>23</v>
      </c>
      <c r="F4" s="17" t="s">
        <v>19</v>
      </c>
    </row>
    <row r="5" spans="1:6" x14ac:dyDescent="0.25">
      <c r="A5" s="17" t="s">
        <v>36</v>
      </c>
      <c r="B5" s="17" t="s">
        <v>176</v>
      </c>
      <c r="C5" s="17"/>
      <c r="D5" s="17" t="s">
        <v>17</v>
      </c>
      <c r="E5" s="17"/>
      <c r="F5" s="17"/>
    </row>
    <row r="6" spans="1:6" x14ac:dyDescent="0.25">
      <c r="A6" s="17"/>
      <c r="B6" s="17" t="s">
        <v>45</v>
      </c>
      <c r="C6" s="17"/>
      <c r="D6" s="17" t="s">
        <v>43</v>
      </c>
      <c r="E6" s="17"/>
      <c r="F6" s="17"/>
    </row>
    <row r="7" spans="1:6" x14ac:dyDescent="0.25">
      <c r="A7" s="17"/>
      <c r="B7" s="17" t="s">
        <v>66</v>
      </c>
      <c r="C7" s="17"/>
      <c r="D7" s="17"/>
      <c r="E7" s="17"/>
      <c r="F7" s="17"/>
    </row>
    <row r="8" spans="1:6" x14ac:dyDescent="0.25">
      <c r="A8" s="17"/>
      <c r="B8" s="17" t="s">
        <v>112</v>
      </c>
      <c r="C8" s="17"/>
      <c r="D8" s="17"/>
      <c r="E8" s="17"/>
      <c r="F8" s="17"/>
    </row>
    <row r="9" spans="1:6" x14ac:dyDescent="0.25">
      <c r="A9" s="17"/>
      <c r="B9" s="17" t="s">
        <v>13</v>
      </c>
      <c r="C9" s="17"/>
      <c r="D9" s="17"/>
      <c r="E9" s="17"/>
      <c r="F9" s="17"/>
    </row>
    <row r="10" spans="1:6" x14ac:dyDescent="0.25">
      <c r="A10" s="17"/>
      <c r="B10" s="17" t="s">
        <v>110</v>
      </c>
      <c r="C10" s="17"/>
      <c r="D10" s="17"/>
      <c r="E10" s="17"/>
      <c r="F10" s="17"/>
    </row>
    <row r="11" spans="1:6" x14ac:dyDescent="0.25">
      <c r="A11" s="17"/>
      <c r="B11" s="17" t="s">
        <v>177</v>
      </c>
      <c r="C11" s="17"/>
      <c r="D11" s="17"/>
      <c r="E11" s="17"/>
      <c r="F11" s="17"/>
    </row>
    <row r="12" spans="1:6" x14ac:dyDescent="0.25">
      <c r="A12" s="17"/>
      <c r="B12" s="17"/>
      <c r="C12" s="17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17"/>
      <c r="B15" s="17"/>
      <c r="C15" s="17"/>
      <c r="D15" s="17"/>
      <c r="E15" s="17"/>
      <c r="F15" s="17"/>
    </row>
    <row r="16" spans="1:6" x14ac:dyDescent="0.25">
      <c r="A16" s="17"/>
      <c r="B16" s="17"/>
      <c r="C16" s="17"/>
      <c r="D16" s="17"/>
      <c r="E16" s="17"/>
      <c r="F16" s="17"/>
    </row>
    <row r="17" spans="1:6" x14ac:dyDescent="0.25">
      <c r="A17" s="17"/>
      <c r="B17" s="17"/>
      <c r="C17" s="17"/>
      <c r="D17" s="17"/>
      <c r="E17" s="17"/>
      <c r="F17" s="17"/>
    </row>
    <row r="18" spans="1:6" x14ac:dyDescent="0.25">
      <c r="A18" s="17"/>
      <c r="B18" s="17"/>
      <c r="C18" s="17"/>
      <c r="D18" s="17"/>
      <c r="E18" s="17"/>
      <c r="F18" s="17"/>
    </row>
    <row r="19" spans="1:6" x14ac:dyDescent="0.25">
      <c r="A19" s="17"/>
      <c r="B19" s="17"/>
      <c r="C19" s="17"/>
      <c r="D19" s="17"/>
      <c r="E19" s="17"/>
      <c r="F19" s="17"/>
    </row>
    <row r="20" spans="1:6" x14ac:dyDescent="0.25">
      <c r="A20" s="17"/>
      <c r="B20" s="17"/>
      <c r="C20" s="17"/>
      <c r="D20" s="17"/>
      <c r="E20" s="17"/>
      <c r="F20" s="17"/>
    </row>
    <row r="21" spans="1:6" ht="15.75" customHeight="1" x14ac:dyDescent="0.25">
      <c r="A21" s="17"/>
      <c r="B21" s="17"/>
      <c r="C21" s="17"/>
      <c r="D21" s="17"/>
      <c r="E21" s="17"/>
      <c r="F21" s="17"/>
    </row>
    <row r="22" spans="1:6" ht="15.75" customHeight="1" x14ac:dyDescent="0.25">
      <c r="A22" s="17"/>
      <c r="B22" s="17"/>
      <c r="C22" s="17"/>
      <c r="D22" s="17"/>
      <c r="E22" s="17"/>
      <c r="F22" s="17"/>
    </row>
    <row r="23" spans="1:6" ht="15.75" customHeight="1" x14ac:dyDescent="0.25">
      <c r="A23" s="17"/>
      <c r="B23" s="17"/>
      <c r="C23" s="17"/>
      <c r="D23" s="17"/>
      <c r="E23" s="17"/>
      <c r="F23" s="17"/>
    </row>
    <row r="24" spans="1:6" ht="15.75" customHeight="1" x14ac:dyDescent="0.25">
      <c r="A24" s="17"/>
      <c r="B24" s="17"/>
      <c r="C24" s="17"/>
      <c r="D24" s="17"/>
      <c r="E24" s="17"/>
      <c r="F24" s="17"/>
    </row>
    <row r="25" spans="1:6" ht="15.75" customHeight="1" x14ac:dyDescent="0.25">
      <c r="A25" s="17"/>
      <c r="B25" s="17"/>
      <c r="C25" s="17"/>
      <c r="D25" s="17"/>
      <c r="E25" s="17"/>
      <c r="F25" s="17"/>
    </row>
    <row r="26" spans="1:6" ht="15.75" customHeight="1" x14ac:dyDescent="0.25">
      <c r="A26" s="17"/>
      <c r="B26" s="17"/>
      <c r="C26" s="17"/>
      <c r="D26" s="17"/>
      <c r="E26" s="17"/>
      <c r="F26" s="17"/>
    </row>
    <row r="27" spans="1:6" ht="15.75" customHeight="1" x14ac:dyDescent="0.25">
      <c r="A27" s="17"/>
      <c r="B27" s="17"/>
      <c r="C27" s="17"/>
      <c r="D27" s="17"/>
      <c r="E27" s="17"/>
      <c r="F27" s="17"/>
    </row>
    <row r="28" spans="1:6" ht="15.75" customHeight="1" x14ac:dyDescent="0.25">
      <c r="A28" s="17"/>
      <c r="B28" s="17"/>
      <c r="C28" s="17"/>
      <c r="D28" s="17"/>
      <c r="E28" s="17"/>
      <c r="F28" s="17"/>
    </row>
    <row r="29" spans="1:6" ht="15.75" customHeight="1" x14ac:dyDescent="0.25">
      <c r="A29" s="17"/>
      <c r="B29" s="17"/>
      <c r="C29" s="17"/>
      <c r="D29" s="17"/>
      <c r="E29" s="17"/>
      <c r="F29" s="17"/>
    </row>
    <row r="30" spans="1:6" ht="15.75" customHeight="1" x14ac:dyDescent="0.25">
      <c r="A30" s="17"/>
      <c r="B30" s="17"/>
      <c r="C30" s="17"/>
      <c r="D30" s="17"/>
      <c r="E30" s="17"/>
      <c r="F30" s="17"/>
    </row>
    <row r="31" spans="1:6" ht="15.75" customHeight="1" x14ac:dyDescent="0.25">
      <c r="A31" s="17"/>
      <c r="B31" s="17"/>
      <c r="C31" s="17"/>
      <c r="D31" s="17"/>
      <c r="E31" s="17"/>
      <c r="F31" s="17"/>
    </row>
    <row r="32" spans="1:6" ht="15.75" customHeight="1" x14ac:dyDescent="0.25">
      <c r="A32" s="17"/>
      <c r="B32" s="17"/>
      <c r="C32" s="17"/>
      <c r="D32" s="17"/>
      <c r="E32" s="17"/>
      <c r="F32" s="17"/>
    </row>
    <row r="33" spans="1:6" ht="15.75" customHeight="1" x14ac:dyDescent="0.25">
      <c r="A33" s="17"/>
      <c r="B33" s="17"/>
      <c r="C33" s="17"/>
      <c r="D33" s="17"/>
      <c r="E33" s="17"/>
      <c r="F33" s="17"/>
    </row>
    <row r="34" spans="1:6" ht="15.75" customHeight="1" x14ac:dyDescent="0.25">
      <c r="A34" s="17"/>
      <c r="B34" s="17"/>
      <c r="C34" s="17"/>
      <c r="D34" s="17"/>
      <c r="E34" s="17"/>
      <c r="F34" s="17"/>
    </row>
    <row r="35" spans="1:6" ht="15.75" customHeight="1" x14ac:dyDescent="0.25">
      <c r="A35" s="17"/>
      <c r="B35" s="17"/>
      <c r="C35" s="17"/>
      <c r="D35" s="17"/>
      <c r="E35" s="17"/>
      <c r="F35" s="17"/>
    </row>
    <row r="36" spans="1:6" ht="15.75" customHeight="1" x14ac:dyDescent="0.25">
      <c r="A36" s="17"/>
      <c r="B36" s="17"/>
      <c r="C36" s="17"/>
      <c r="D36" s="17"/>
      <c r="E36" s="17"/>
      <c r="F36" s="17"/>
    </row>
    <row r="37" spans="1:6" ht="15.75" customHeight="1" x14ac:dyDescent="0.25">
      <c r="A37" s="17"/>
      <c r="B37" s="17"/>
      <c r="C37" s="17"/>
      <c r="D37" s="17"/>
      <c r="E37" s="17"/>
      <c r="F37" s="17"/>
    </row>
    <row r="38" spans="1:6" ht="15.75" customHeight="1" x14ac:dyDescent="0.25">
      <c r="A38" s="17"/>
      <c r="B38" s="17"/>
      <c r="C38" s="17"/>
      <c r="D38" s="17"/>
      <c r="E38" s="17"/>
      <c r="F38" s="17"/>
    </row>
    <row r="39" spans="1:6" ht="15.75" customHeight="1" x14ac:dyDescent="0.25">
      <c r="A39" s="17"/>
      <c r="B39" s="17"/>
      <c r="C39" s="17"/>
      <c r="D39" s="17"/>
      <c r="E39" s="17"/>
      <c r="F39" s="17"/>
    </row>
    <row r="40" spans="1:6" ht="15.75" customHeight="1" x14ac:dyDescent="0.25">
      <c r="A40" s="17"/>
      <c r="B40" s="17"/>
      <c r="C40" s="17"/>
      <c r="D40" s="17"/>
      <c r="E40" s="17"/>
      <c r="F40" s="17"/>
    </row>
    <row r="41" spans="1:6" ht="15.75" customHeight="1" x14ac:dyDescent="0.25">
      <c r="A41" s="17"/>
      <c r="B41" s="17"/>
      <c r="C41" s="17"/>
      <c r="D41" s="17"/>
      <c r="E41" s="17"/>
      <c r="F41" s="17"/>
    </row>
    <row r="42" spans="1:6" ht="15.75" customHeight="1" x14ac:dyDescent="0.25">
      <c r="A42" s="17"/>
      <c r="B42" s="17"/>
      <c r="C42" s="17"/>
      <c r="D42" s="17"/>
      <c r="E42" s="17"/>
      <c r="F42" s="17"/>
    </row>
    <row r="43" spans="1:6" ht="15.75" customHeight="1" x14ac:dyDescent="0.25">
      <c r="A43" s="17"/>
      <c r="B43" s="17"/>
      <c r="C43" s="17"/>
      <c r="D43" s="17"/>
      <c r="E43" s="17"/>
      <c r="F43" s="17"/>
    </row>
    <row r="44" spans="1:6" ht="15.75" customHeight="1" x14ac:dyDescent="0.25">
      <c r="A44" s="17"/>
      <c r="B44" s="17"/>
      <c r="C44" s="17"/>
      <c r="D44" s="17"/>
      <c r="E44" s="17"/>
      <c r="F44" s="17"/>
    </row>
    <row r="45" spans="1:6" ht="15.75" customHeight="1" x14ac:dyDescent="0.25">
      <c r="A45" s="17"/>
      <c r="B45" s="17"/>
      <c r="C45" s="17"/>
      <c r="D45" s="17"/>
      <c r="E45" s="17"/>
      <c r="F45" s="17"/>
    </row>
    <row r="46" spans="1:6" ht="15.75" customHeight="1" x14ac:dyDescent="0.25">
      <c r="A46" s="17"/>
      <c r="B46" s="17"/>
      <c r="C46" s="17"/>
      <c r="D46" s="17"/>
      <c r="E46" s="17"/>
      <c r="F46" s="17"/>
    </row>
    <row r="47" spans="1:6" ht="15.75" customHeight="1" x14ac:dyDescent="0.25">
      <c r="A47" s="17"/>
      <c r="B47" s="17"/>
      <c r="C47" s="17"/>
      <c r="D47" s="17"/>
      <c r="E47" s="17"/>
      <c r="F47" s="17"/>
    </row>
    <row r="48" spans="1:6" ht="15.75" customHeight="1" x14ac:dyDescent="0.25">
      <c r="A48" s="17"/>
      <c r="B48" s="17"/>
      <c r="C48" s="17"/>
      <c r="D48" s="17"/>
      <c r="E48" s="17"/>
      <c r="F48" s="17"/>
    </row>
    <row r="49" spans="1:6" ht="15.75" customHeight="1" x14ac:dyDescent="0.25">
      <c r="A49" s="17"/>
      <c r="B49" s="17"/>
      <c r="C49" s="17"/>
      <c r="D49" s="17"/>
      <c r="E49" s="17"/>
      <c r="F49" s="17"/>
    </row>
    <row r="50" spans="1:6" ht="15.75" customHeight="1" x14ac:dyDescent="0.25">
      <c r="A50" s="17"/>
      <c r="B50" s="17"/>
      <c r="C50" s="17"/>
      <c r="D50" s="17"/>
      <c r="E50" s="17"/>
      <c r="F50" s="17"/>
    </row>
    <row r="51" spans="1:6" ht="15.75" customHeight="1" x14ac:dyDescent="0.25">
      <c r="A51" s="17"/>
      <c r="B51" s="17"/>
      <c r="C51" s="17"/>
      <c r="D51" s="17"/>
      <c r="E51" s="17"/>
      <c r="F51" s="17"/>
    </row>
    <row r="52" spans="1:6" ht="15.75" customHeight="1" x14ac:dyDescent="0.25">
      <c r="A52" s="17"/>
      <c r="B52" s="17"/>
      <c r="C52" s="17"/>
      <c r="D52" s="17"/>
      <c r="E52" s="17"/>
      <c r="F52" s="17"/>
    </row>
    <row r="53" spans="1:6" ht="15.75" customHeight="1" x14ac:dyDescent="0.25">
      <c r="A53" s="17"/>
      <c r="B53" s="17"/>
      <c r="C53" s="17"/>
      <c r="D53" s="17"/>
      <c r="E53" s="17"/>
      <c r="F53" s="17"/>
    </row>
    <row r="54" spans="1:6" ht="15.75" customHeight="1" x14ac:dyDescent="0.25">
      <c r="A54" s="17"/>
      <c r="B54" s="17"/>
      <c r="C54" s="17"/>
      <c r="D54" s="17"/>
      <c r="E54" s="17"/>
      <c r="F54" s="17"/>
    </row>
    <row r="55" spans="1:6" ht="15.75" customHeight="1" x14ac:dyDescent="0.25">
      <c r="A55" s="17"/>
      <c r="B55" s="17"/>
      <c r="C55" s="17"/>
      <c r="D55" s="17"/>
      <c r="E55" s="17"/>
      <c r="F55" s="17"/>
    </row>
    <row r="56" spans="1:6" ht="15.75" customHeight="1" x14ac:dyDescent="0.25">
      <c r="A56" s="17"/>
      <c r="B56" s="17"/>
      <c r="C56" s="17"/>
      <c r="D56" s="17"/>
      <c r="E56" s="17"/>
      <c r="F56" s="17"/>
    </row>
    <row r="57" spans="1:6" ht="15.75" customHeight="1" x14ac:dyDescent="0.25">
      <c r="A57" s="17"/>
      <c r="B57" s="17"/>
      <c r="C57" s="17"/>
      <c r="D57" s="17"/>
      <c r="E57" s="17"/>
      <c r="F57" s="17"/>
    </row>
    <row r="58" spans="1:6" ht="15.75" customHeight="1" x14ac:dyDescent="0.25">
      <c r="A58" s="17"/>
      <c r="B58" s="17"/>
      <c r="C58" s="17"/>
      <c r="D58" s="17"/>
      <c r="E58" s="17"/>
      <c r="F58" s="17"/>
    </row>
    <row r="59" spans="1:6" ht="15.75" customHeight="1" x14ac:dyDescent="0.25">
      <c r="A59" s="17"/>
      <c r="B59" s="17"/>
      <c r="C59" s="17"/>
      <c r="D59" s="17"/>
      <c r="E59" s="17"/>
      <c r="F59" s="17"/>
    </row>
    <row r="60" spans="1:6" ht="15.75" customHeight="1" x14ac:dyDescent="0.25">
      <c r="A60" s="17"/>
      <c r="B60" s="17"/>
      <c r="C60" s="17"/>
      <c r="D60" s="17"/>
      <c r="E60" s="17"/>
      <c r="F60" s="17"/>
    </row>
    <row r="61" spans="1:6" ht="15.75" customHeight="1" x14ac:dyDescent="0.25">
      <c r="A61" s="17"/>
      <c r="B61" s="17"/>
      <c r="C61" s="17"/>
      <c r="D61" s="17"/>
      <c r="E61" s="17"/>
      <c r="F61" s="17"/>
    </row>
    <row r="62" spans="1:6" ht="15.75" customHeight="1" x14ac:dyDescent="0.25">
      <c r="A62" s="17"/>
      <c r="B62" s="17"/>
      <c r="C62" s="17"/>
      <c r="D62" s="17"/>
      <c r="E62" s="17"/>
      <c r="F62" s="17"/>
    </row>
    <row r="63" spans="1:6" ht="15.75" customHeight="1" x14ac:dyDescent="0.25">
      <c r="A63" s="17"/>
      <c r="B63" s="17"/>
      <c r="C63" s="17"/>
      <c r="D63" s="17"/>
      <c r="E63" s="17"/>
      <c r="F63" s="17"/>
    </row>
    <row r="64" spans="1:6" ht="15.75" customHeight="1" x14ac:dyDescent="0.25">
      <c r="A64" s="17"/>
      <c r="B64" s="17"/>
      <c r="C64" s="17"/>
      <c r="D64" s="17"/>
      <c r="E64" s="17"/>
      <c r="F64" s="17"/>
    </row>
    <row r="65" spans="1:6" ht="15.75" customHeight="1" x14ac:dyDescent="0.25">
      <c r="A65" s="17"/>
      <c r="B65" s="17"/>
      <c r="C65" s="17"/>
      <c r="D65" s="17"/>
      <c r="E65" s="17"/>
      <c r="F65" s="17"/>
    </row>
    <row r="66" spans="1:6" ht="15.75" customHeight="1" x14ac:dyDescent="0.25">
      <c r="A66" s="17"/>
      <c r="B66" s="17"/>
      <c r="C66" s="17"/>
      <c r="D66" s="17"/>
      <c r="E66" s="17"/>
      <c r="F66" s="17"/>
    </row>
    <row r="67" spans="1:6" ht="15.75" customHeight="1" x14ac:dyDescent="0.25">
      <c r="A67" s="17"/>
      <c r="B67" s="17"/>
      <c r="C67" s="17"/>
      <c r="D67" s="17"/>
      <c r="E67" s="17"/>
      <c r="F67" s="17"/>
    </row>
    <row r="68" spans="1:6" ht="15.75" customHeight="1" x14ac:dyDescent="0.25">
      <c r="A68" s="17"/>
      <c r="B68" s="17"/>
      <c r="C68" s="17"/>
      <c r="D68" s="17"/>
      <c r="E68" s="17"/>
      <c r="F68" s="17"/>
    </row>
    <row r="69" spans="1:6" ht="15.75" customHeight="1" x14ac:dyDescent="0.25">
      <c r="A69" s="17"/>
      <c r="B69" s="17"/>
      <c r="C69" s="17"/>
      <c r="D69" s="17"/>
      <c r="E69" s="17"/>
      <c r="F69" s="17"/>
    </row>
    <row r="70" spans="1:6" ht="15.75" customHeight="1" x14ac:dyDescent="0.25">
      <c r="A70" s="17"/>
      <c r="B70" s="17"/>
      <c r="C70" s="17"/>
      <c r="D70" s="17"/>
      <c r="E70" s="17"/>
      <c r="F70" s="17"/>
    </row>
    <row r="71" spans="1:6" ht="15.75" customHeight="1" x14ac:dyDescent="0.25">
      <c r="A71" s="17"/>
      <c r="B71" s="17"/>
      <c r="C71" s="17"/>
      <c r="D71" s="17"/>
      <c r="E71" s="17"/>
      <c r="F71" s="17"/>
    </row>
    <row r="72" spans="1:6" ht="15.75" customHeight="1" x14ac:dyDescent="0.25">
      <c r="A72" s="17"/>
      <c r="B72" s="17"/>
      <c r="C72" s="17"/>
      <c r="D72" s="17"/>
      <c r="E72" s="17"/>
      <c r="F72" s="17"/>
    </row>
    <row r="73" spans="1:6" ht="15.75" customHeight="1" x14ac:dyDescent="0.25">
      <c r="A73" s="17"/>
      <c r="B73" s="17"/>
      <c r="C73" s="17"/>
      <c r="D73" s="17"/>
      <c r="E73" s="17"/>
      <c r="F73" s="17"/>
    </row>
    <row r="74" spans="1:6" ht="15.75" customHeight="1" x14ac:dyDescent="0.25">
      <c r="A74" s="17"/>
      <c r="B74" s="17"/>
      <c r="C74" s="17"/>
      <c r="D74" s="17"/>
      <c r="E74" s="17"/>
      <c r="F74" s="17"/>
    </row>
    <row r="75" spans="1:6" ht="15.75" customHeight="1" x14ac:dyDescent="0.25">
      <c r="A75" s="17"/>
      <c r="B75" s="17"/>
      <c r="C75" s="17"/>
      <c r="D75" s="17"/>
      <c r="E75" s="17"/>
      <c r="F75" s="17"/>
    </row>
    <row r="76" spans="1:6" ht="15.75" customHeight="1" x14ac:dyDescent="0.25">
      <c r="A76" s="17"/>
      <c r="B76" s="17"/>
      <c r="C76" s="17"/>
      <c r="D76" s="17"/>
      <c r="E76" s="17"/>
      <c r="F76" s="17"/>
    </row>
    <row r="77" spans="1:6" ht="15.75" customHeight="1" x14ac:dyDescent="0.25">
      <c r="A77" s="17"/>
      <c r="B77" s="17"/>
      <c r="C77" s="17"/>
      <c r="D77" s="17"/>
      <c r="E77" s="17"/>
      <c r="F77" s="17"/>
    </row>
    <row r="78" spans="1:6" ht="15.75" customHeight="1" x14ac:dyDescent="0.25">
      <c r="A78" s="17"/>
      <c r="B78" s="17"/>
      <c r="C78" s="17"/>
      <c r="D78" s="17"/>
      <c r="E78" s="17"/>
      <c r="F78" s="17"/>
    </row>
    <row r="79" spans="1:6" ht="15.75" customHeight="1" x14ac:dyDescent="0.25">
      <c r="A79" s="17"/>
      <c r="B79" s="17"/>
      <c r="C79" s="17"/>
      <c r="D79" s="17"/>
      <c r="E79" s="17"/>
      <c r="F79" s="17"/>
    </row>
    <row r="80" spans="1:6" ht="15.75" customHeight="1" x14ac:dyDescent="0.25">
      <c r="A80" s="17"/>
      <c r="B80" s="17"/>
      <c r="C80" s="17"/>
      <c r="D80" s="17"/>
      <c r="E80" s="17"/>
      <c r="F80" s="17"/>
    </row>
    <row r="81" spans="1:6" ht="15.75" customHeight="1" x14ac:dyDescent="0.25">
      <c r="A81" s="17"/>
      <c r="B81" s="17"/>
      <c r="C81" s="17"/>
      <c r="D81" s="17"/>
      <c r="E81" s="17"/>
      <c r="F81" s="17"/>
    </row>
    <row r="82" spans="1:6" ht="15.75" customHeight="1" x14ac:dyDescent="0.25">
      <c r="A82" s="17"/>
      <c r="B82" s="17"/>
      <c r="C82" s="17"/>
      <c r="D82" s="17"/>
      <c r="E82" s="17"/>
      <c r="F82" s="17"/>
    </row>
    <row r="83" spans="1:6" ht="15.75" customHeight="1" x14ac:dyDescent="0.25">
      <c r="A83" s="17"/>
      <c r="B83" s="17"/>
      <c r="C83" s="17"/>
      <c r="D83" s="17"/>
      <c r="E83" s="17"/>
      <c r="F83" s="17"/>
    </row>
    <row r="84" spans="1:6" ht="15.75" customHeight="1" x14ac:dyDescent="0.25">
      <c r="A84" s="17"/>
      <c r="B84" s="17"/>
      <c r="C84" s="17"/>
      <c r="D84" s="17"/>
      <c r="E84" s="17"/>
      <c r="F84" s="17"/>
    </row>
    <row r="85" spans="1:6" ht="15.75" customHeight="1" x14ac:dyDescent="0.25">
      <c r="A85" s="17"/>
      <c r="B85" s="17"/>
      <c r="C85" s="17"/>
      <c r="D85" s="17"/>
      <c r="E85" s="17"/>
      <c r="F85" s="17"/>
    </row>
    <row r="86" spans="1:6" ht="15.75" customHeight="1" x14ac:dyDescent="0.25">
      <c r="A86" s="17"/>
      <c r="B86" s="17"/>
      <c r="C86" s="17"/>
      <c r="D86" s="17"/>
      <c r="E86" s="17"/>
      <c r="F86" s="17"/>
    </row>
    <row r="87" spans="1:6" ht="15.75" customHeight="1" x14ac:dyDescent="0.25">
      <c r="A87" s="17"/>
      <c r="B87" s="17"/>
      <c r="C87" s="17"/>
      <c r="D87" s="17"/>
      <c r="E87" s="17"/>
      <c r="F87" s="17"/>
    </row>
    <row r="88" spans="1:6" ht="15.75" customHeight="1" x14ac:dyDescent="0.25">
      <c r="A88" s="17"/>
      <c r="B88" s="17"/>
      <c r="C88" s="17"/>
      <c r="D88" s="17"/>
      <c r="E88" s="17"/>
      <c r="F88" s="17"/>
    </row>
    <row r="89" spans="1:6" ht="15.75" customHeight="1" x14ac:dyDescent="0.25">
      <c r="A89" s="17"/>
      <c r="B89" s="17"/>
      <c r="C89" s="17"/>
      <c r="D89" s="17"/>
      <c r="E89" s="17"/>
      <c r="F89" s="17"/>
    </row>
    <row r="90" spans="1:6" ht="15.75" customHeight="1" x14ac:dyDescent="0.25">
      <c r="A90" s="17"/>
      <c r="B90" s="17"/>
      <c r="C90" s="17"/>
      <c r="D90" s="17"/>
      <c r="E90" s="17"/>
      <c r="F90" s="17"/>
    </row>
    <row r="91" spans="1:6" ht="15.75" customHeight="1" x14ac:dyDescent="0.25">
      <c r="A91" s="17"/>
      <c r="B91" s="17"/>
      <c r="C91" s="17"/>
      <c r="D91" s="17"/>
      <c r="E91" s="17"/>
      <c r="F91" s="17"/>
    </row>
    <row r="92" spans="1:6" ht="15.75" customHeight="1" x14ac:dyDescent="0.25">
      <c r="A92" s="17"/>
      <c r="B92" s="17"/>
      <c r="C92" s="17"/>
      <c r="D92" s="17"/>
      <c r="E92" s="17"/>
      <c r="F92" s="17"/>
    </row>
    <row r="93" spans="1:6" ht="15.75" customHeight="1" x14ac:dyDescent="0.25">
      <c r="A93" s="17"/>
      <c r="B93" s="17"/>
      <c r="C93" s="17"/>
      <c r="D93" s="17"/>
      <c r="E93" s="17"/>
      <c r="F93" s="17"/>
    </row>
    <row r="94" spans="1:6" ht="15.75" customHeight="1" x14ac:dyDescent="0.25">
      <c r="A94" s="17"/>
      <c r="B94" s="17"/>
      <c r="C94" s="17"/>
      <c r="D94" s="17"/>
      <c r="E94" s="17"/>
      <c r="F94" s="17"/>
    </row>
    <row r="95" spans="1:6" ht="15.75" customHeight="1" x14ac:dyDescent="0.25">
      <c r="A95" s="17"/>
      <c r="B95" s="17"/>
      <c r="C95" s="17"/>
      <c r="D95" s="17"/>
      <c r="E95" s="17"/>
      <c r="F95" s="17"/>
    </row>
    <row r="96" spans="1:6" ht="15.75" customHeight="1" x14ac:dyDescent="0.25">
      <c r="A96" s="17"/>
      <c r="B96" s="17"/>
      <c r="C96" s="17"/>
      <c r="D96" s="17"/>
      <c r="E96" s="17"/>
      <c r="F96" s="17"/>
    </row>
    <row r="97" spans="1:6" ht="15.75" customHeight="1" x14ac:dyDescent="0.25">
      <c r="A97" s="17"/>
      <c r="B97" s="17"/>
      <c r="C97" s="17"/>
      <c r="D97" s="17"/>
      <c r="E97" s="17"/>
      <c r="F97" s="17"/>
    </row>
    <row r="98" spans="1:6" ht="15.75" customHeight="1" x14ac:dyDescent="0.25">
      <c r="A98" s="17"/>
      <c r="B98" s="17"/>
      <c r="C98" s="17"/>
      <c r="D98" s="17"/>
      <c r="E98" s="17"/>
      <c r="F98" s="17"/>
    </row>
    <row r="99" spans="1:6" ht="15.75" customHeight="1" x14ac:dyDescent="0.25">
      <c r="A99" s="17"/>
      <c r="B99" s="17"/>
      <c r="C99" s="17"/>
      <c r="D99" s="17"/>
      <c r="E99" s="17"/>
      <c r="F99" s="17"/>
    </row>
    <row r="100" spans="1:6" ht="15.75" customHeight="1" x14ac:dyDescent="0.25">
      <c r="A100" s="17"/>
      <c r="B100" s="17"/>
      <c r="C100" s="17"/>
      <c r="D100" s="17"/>
      <c r="E100" s="17"/>
      <c r="F100" s="17"/>
    </row>
    <row r="101" spans="1:6" ht="15.75" customHeight="1" x14ac:dyDescent="0.25">
      <c r="A101" s="17"/>
      <c r="B101" s="17"/>
      <c r="C101" s="17"/>
      <c r="D101" s="17"/>
      <c r="E101" s="17"/>
      <c r="F101" s="17"/>
    </row>
    <row r="102" spans="1:6" ht="15.75" customHeight="1" x14ac:dyDescent="0.25">
      <c r="A102" s="17"/>
      <c r="B102" s="17"/>
      <c r="C102" s="17"/>
      <c r="D102" s="17"/>
      <c r="E102" s="17"/>
      <c r="F102" s="17"/>
    </row>
    <row r="103" spans="1:6" ht="15.75" customHeight="1" x14ac:dyDescent="0.25">
      <c r="A103" s="17"/>
      <c r="B103" s="17"/>
      <c r="C103" s="17"/>
      <c r="D103" s="17"/>
      <c r="E103" s="17"/>
      <c r="F103" s="17"/>
    </row>
    <row r="104" spans="1:6" ht="15.75" customHeight="1" x14ac:dyDescent="0.25">
      <c r="A104" s="17"/>
      <c r="B104" s="17"/>
      <c r="C104" s="17"/>
      <c r="D104" s="17"/>
      <c r="E104" s="17"/>
      <c r="F104" s="17"/>
    </row>
    <row r="105" spans="1:6" ht="15.75" customHeight="1" x14ac:dyDescent="0.25">
      <c r="A105" s="17"/>
      <c r="B105" s="17"/>
      <c r="C105" s="17"/>
      <c r="D105" s="17"/>
      <c r="E105" s="17"/>
      <c r="F105" s="17"/>
    </row>
    <row r="106" spans="1:6" ht="15.75" customHeight="1" x14ac:dyDescent="0.25">
      <c r="A106" s="17"/>
      <c r="B106" s="17"/>
      <c r="C106" s="17"/>
      <c r="D106" s="17"/>
      <c r="E106" s="17"/>
      <c r="F106" s="17"/>
    </row>
    <row r="107" spans="1:6" ht="15.75" customHeight="1" x14ac:dyDescent="0.25">
      <c r="A107" s="17"/>
      <c r="B107" s="17"/>
      <c r="C107" s="17"/>
      <c r="D107" s="17"/>
      <c r="E107" s="17"/>
      <c r="F107" s="17"/>
    </row>
    <row r="108" spans="1:6" ht="15.75" customHeight="1" x14ac:dyDescent="0.25">
      <c r="A108" s="17"/>
      <c r="B108" s="17"/>
      <c r="C108" s="17"/>
      <c r="D108" s="17"/>
      <c r="E108" s="17"/>
      <c r="F108" s="17"/>
    </row>
    <row r="109" spans="1:6" ht="15.75" customHeight="1" x14ac:dyDescent="0.25">
      <c r="A109" s="17"/>
      <c r="B109" s="17"/>
      <c r="C109" s="17"/>
      <c r="D109" s="17"/>
      <c r="E109" s="17"/>
      <c r="F109" s="17"/>
    </row>
    <row r="110" spans="1:6" ht="15.75" customHeight="1" x14ac:dyDescent="0.25">
      <c r="A110" s="17"/>
      <c r="B110" s="17"/>
      <c r="C110" s="17"/>
      <c r="D110" s="17"/>
      <c r="E110" s="17"/>
      <c r="F110" s="17"/>
    </row>
    <row r="111" spans="1:6" ht="15.75" customHeight="1" x14ac:dyDescent="0.25">
      <c r="A111" s="17"/>
      <c r="B111" s="17"/>
      <c r="C111" s="17"/>
      <c r="D111" s="17"/>
      <c r="E111" s="17"/>
      <c r="F111" s="17"/>
    </row>
    <row r="112" spans="1:6" ht="15.75" customHeight="1" x14ac:dyDescent="0.25">
      <c r="A112" s="17"/>
      <c r="B112" s="17"/>
      <c r="C112" s="17"/>
      <c r="D112" s="17"/>
      <c r="E112" s="17"/>
      <c r="F112" s="17"/>
    </row>
    <row r="113" spans="1:6" ht="15.75" customHeight="1" x14ac:dyDescent="0.25">
      <c r="A113" s="17"/>
      <c r="B113" s="17"/>
      <c r="C113" s="17"/>
      <c r="D113" s="17"/>
      <c r="E113" s="17"/>
      <c r="F113" s="17"/>
    </row>
    <row r="114" spans="1:6" ht="15.75" customHeight="1" x14ac:dyDescent="0.25">
      <c r="A114" s="17"/>
      <c r="B114" s="17"/>
      <c r="C114" s="17"/>
      <c r="D114" s="17"/>
      <c r="E114" s="17"/>
      <c r="F114" s="17"/>
    </row>
    <row r="115" spans="1:6" ht="15.75" customHeight="1" x14ac:dyDescent="0.25">
      <c r="A115" s="17"/>
      <c r="B115" s="17"/>
      <c r="C115" s="17"/>
      <c r="D115" s="17"/>
      <c r="E115" s="17"/>
      <c r="F115" s="17"/>
    </row>
    <row r="116" spans="1:6" ht="15.75" customHeight="1" x14ac:dyDescent="0.25">
      <c r="A116" s="17"/>
      <c r="B116" s="17"/>
      <c r="C116" s="17"/>
      <c r="D116" s="17"/>
      <c r="E116" s="17"/>
      <c r="F116" s="17"/>
    </row>
    <row r="117" spans="1:6" ht="15.75" customHeight="1" x14ac:dyDescent="0.25">
      <c r="A117" s="17"/>
      <c r="B117" s="17"/>
      <c r="C117" s="17"/>
      <c r="D117" s="17"/>
      <c r="E117" s="17"/>
      <c r="F117" s="17"/>
    </row>
    <row r="118" spans="1:6" ht="15.75" customHeight="1" x14ac:dyDescent="0.25">
      <c r="A118" s="17"/>
      <c r="B118" s="17"/>
      <c r="C118" s="17"/>
      <c r="D118" s="17"/>
      <c r="E118" s="17"/>
      <c r="F118" s="17"/>
    </row>
    <row r="119" spans="1:6" ht="15.75" customHeight="1" x14ac:dyDescent="0.25">
      <c r="A119" s="17"/>
      <c r="B119" s="17"/>
      <c r="C119" s="17"/>
      <c r="D119" s="17"/>
      <c r="E119" s="17"/>
      <c r="F119" s="17"/>
    </row>
    <row r="120" spans="1:6" ht="15.75" customHeight="1" x14ac:dyDescent="0.25">
      <c r="A120" s="17"/>
      <c r="B120" s="17"/>
      <c r="C120" s="17"/>
      <c r="D120" s="17"/>
      <c r="E120" s="17"/>
      <c r="F120" s="17"/>
    </row>
    <row r="121" spans="1:6" ht="15.75" customHeight="1" x14ac:dyDescent="0.25">
      <c r="A121" s="17"/>
      <c r="B121" s="17"/>
      <c r="C121" s="17"/>
      <c r="D121" s="17"/>
      <c r="E121" s="17"/>
      <c r="F121" s="17"/>
    </row>
    <row r="122" spans="1:6" ht="15.75" customHeight="1" x14ac:dyDescent="0.25">
      <c r="A122" s="17"/>
      <c r="B122" s="17"/>
      <c r="C122" s="17"/>
      <c r="D122" s="17"/>
      <c r="E122" s="17"/>
      <c r="F122" s="17"/>
    </row>
    <row r="123" spans="1:6" ht="15.75" customHeight="1" x14ac:dyDescent="0.25">
      <c r="A123" s="17"/>
      <c r="B123" s="17"/>
      <c r="C123" s="17"/>
      <c r="D123" s="17"/>
      <c r="E123" s="17"/>
      <c r="F123" s="17"/>
    </row>
    <row r="124" spans="1:6" ht="15.75" customHeight="1" x14ac:dyDescent="0.25">
      <c r="A124" s="17"/>
      <c r="B124" s="17"/>
      <c r="C124" s="17"/>
      <c r="D124" s="17"/>
      <c r="E124" s="17"/>
      <c r="F124" s="17"/>
    </row>
    <row r="125" spans="1:6" ht="15.75" customHeight="1" x14ac:dyDescent="0.25">
      <c r="A125" s="17"/>
      <c r="B125" s="17"/>
      <c r="C125" s="17"/>
      <c r="D125" s="17"/>
      <c r="E125" s="17"/>
      <c r="F125" s="17"/>
    </row>
    <row r="126" spans="1:6" ht="15.75" customHeight="1" x14ac:dyDescent="0.25">
      <c r="A126" s="17"/>
      <c r="B126" s="17"/>
      <c r="C126" s="17"/>
      <c r="D126" s="17"/>
      <c r="E126" s="17"/>
      <c r="F126" s="17"/>
    </row>
    <row r="127" spans="1:6" ht="15.75" customHeight="1" x14ac:dyDescent="0.25">
      <c r="A127" s="17"/>
      <c r="B127" s="17"/>
      <c r="C127" s="17"/>
      <c r="D127" s="17"/>
      <c r="E127" s="17"/>
      <c r="F127" s="17"/>
    </row>
    <row r="128" spans="1:6" ht="15.75" customHeight="1" x14ac:dyDescent="0.25">
      <c r="A128" s="17"/>
      <c r="B128" s="17"/>
      <c r="C128" s="17"/>
      <c r="D128" s="17"/>
      <c r="E128" s="17"/>
      <c r="F128" s="17"/>
    </row>
    <row r="129" spans="1:6" ht="15.75" customHeight="1" x14ac:dyDescent="0.25">
      <c r="A129" s="17"/>
      <c r="B129" s="17"/>
      <c r="C129" s="17"/>
      <c r="D129" s="17"/>
      <c r="E129" s="17"/>
      <c r="F129" s="17"/>
    </row>
    <row r="130" spans="1:6" ht="15.75" customHeight="1" x14ac:dyDescent="0.25">
      <c r="A130" s="17"/>
      <c r="B130" s="17"/>
      <c r="C130" s="17"/>
      <c r="D130" s="17"/>
      <c r="E130" s="17"/>
      <c r="F130" s="17"/>
    </row>
    <row r="131" spans="1:6" ht="15.75" customHeight="1" x14ac:dyDescent="0.25">
      <c r="A131" s="17"/>
      <c r="B131" s="17"/>
      <c r="C131" s="17"/>
      <c r="D131" s="17"/>
      <c r="E131" s="17"/>
      <c r="F131" s="17"/>
    </row>
    <row r="132" spans="1:6" ht="15.75" customHeight="1" x14ac:dyDescent="0.25">
      <c r="A132" s="17"/>
      <c r="B132" s="17"/>
      <c r="C132" s="17"/>
      <c r="D132" s="17"/>
      <c r="E132" s="17"/>
      <c r="F132" s="17"/>
    </row>
    <row r="133" spans="1:6" ht="15.75" customHeight="1" x14ac:dyDescent="0.25">
      <c r="A133" s="17"/>
      <c r="B133" s="17"/>
      <c r="C133" s="17"/>
      <c r="D133" s="17"/>
      <c r="E133" s="17"/>
      <c r="F133" s="17"/>
    </row>
    <row r="134" spans="1:6" ht="15.75" customHeight="1" x14ac:dyDescent="0.25">
      <c r="A134" s="17"/>
      <c r="B134" s="17"/>
      <c r="C134" s="17"/>
      <c r="D134" s="17"/>
      <c r="E134" s="17"/>
      <c r="F134" s="17"/>
    </row>
    <row r="135" spans="1:6" ht="15.75" customHeight="1" x14ac:dyDescent="0.25">
      <c r="A135" s="17"/>
      <c r="B135" s="17"/>
      <c r="C135" s="17"/>
      <c r="D135" s="17"/>
      <c r="E135" s="17"/>
      <c r="F135" s="17"/>
    </row>
    <row r="136" spans="1:6" ht="15.75" customHeight="1" x14ac:dyDescent="0.25">
      <c r="A136" s="17"/>
      <c r="B136" s="17"/>
      <c r="C136" s="17"/>
      <c r="D136" s="17"/>
      <c r="E136" s="17"/>
      <c r="F136" s="17"/>
    </row>
    <row r="137" spans="1:6" ht="15.75" customHeight="1" x14ac:dyDescent="0.25">
      <c r="A137" s="17"/>
      <c r="B137" s="17"/>
      <c r="C137" s="17"/>
      <c r="D137" s="17"/>
      <c r="E137" s="17"/>
      <c r="F137" s="17"/>
    </row>
    <row r="138" spans="1:6" ht="15.75" customHeight="1" x14ac:dyDescent="0.25">
      <c r="A138" s="17"/>
      <c r="B138" s="17"/>
      <c r="C138" s="17"/>
      <c r="D138" s="17"/>
      <c r="E138" s="17"/>
      <c r="F138" s="17"/>
    </row>
    <row r="139" spans="1:6" ht="15.75" customHeight="1" x14ac:dyDescent="0.25">
      <c r="A139" s="17"/>
      <c r="B139" s="17"/>
      <c r="C139" s="17"/>
      <c r="D139" s="17"/>
      <c r="E139" s="17"/>
      <c r="F139" s="17"/>
    </row>
    <row r="140" spans="1:6" ht="15.75" customHeight="1" x14ac:dyDescent="0.25">
      <c r="A140" s="17"/>
      <c r="B140" s="17"/>
      <c r="C140" s="17"/>
      <c r="D140" s="17"/>
      <c r="E140" s="17"/>
      <c r="F140" s="17"/>
    </row>
    <row r="141" spans="1:6" ht="15.75" customHeight="1" x14ac:dyDescent="0.25">
      <c r="A141" s="17"/>
      <c r="B141" s="17"/>
      <c r="C141" s="17"/>
      <c r="D141" s="17"/>
      <c r="E141" s="17"/>
      <c r="F141" s="17"/>
    </row>
    <row r="142" spans="1:6" ht="15.75" customHeight="1" x14ac:dyDescent="0.25">
      <c r="A142" s="17"/>
      <c r="B142" s="17"/>
      <c r="C142" s="17"/>
      <c r="D142" s="17"/>
      <c r="E142" s="17"/>
      <c r="F142" s="17"/>
    </row>
    <row r="143" spans="1:6" ht="15.75" customHeight="1" x14ac:dyDescent="0.25">
      <c r="A143" s="17"/>
      <c r="B143" s="17"/>
      <c r="C143" s="17"/>
      <c r="D143" s="17"/>
      <c r="E143" s="17"/>
      <c r="F143" s="17"/>
    </row>
    <row r="144" spans="1:6" ht="15.75" customHeight="1" x14ac:dyDescent="0.25">
      <c r="A144" s="17"/>
      <c r="B144" s="17"/>
      <c r="C144" s="17"/>
      <c r="D144" s="17"/>
      <c r="E144" s="17"/>
      <c r="F144" s="17"/>
    </row>
    <row r="145" spans="1:6" ht="15.75" customHeight="1" x14ac:dyDescent="0.25">
      <c r="A145" s="17"/>
      <c r="B145" s="17"/>
      <c r="C145" s="17"/>
      <c r="D145" s="17"/>
      <c r="E145" s="17"/>
      <c r="F145" s="17"/>
    </row>
    <row r="146" spans="1:6" ht="15.75" customHeight="1" x14ac:dyDescent="0.25">
      <c r="A146" s="17"/>
      <c r="B146" s="17"/>
      <c r="C146" s="17"/>
      <c r="D146" s="17"/>
      <c r="E146" s="17"/>
      <c r="F146" s="17"/>
    </row>
    <row r="147" spans="1:6" ht="15.75" customHeight="1" x14ac:dyDescent="0.25">
      <c r="A147" s="17"/>
      <c r="B147" s="17"/>
      <c r="C147" s="17"/>
      <c r="D147" s="17"/>
      <c r="E147" s="17"/>
      <c r="F147" s="17"/>
    </row>
    <row r="148" spans="1:6" ht="15.75" customHeight="1" x14ac:dyDescent="0.25">
      <c r="A148" s="17"/>
      <c r="B148" s="17"/>
      <c r="C148" s="17"/>
      <c r="D148" s="17"/>
      <c r="E148" s="17"/>
      <c r="F148" s="17"/>
    </row>
    <row r="149" spans="1:6" ht="15.75" customHeight="1" x14ac:dyDescent="0.25">
      <c r="A149" s="17"/>
      <c r="B149" s="17"/>
      <c r="C149" s="17"/>
      <c r="D149" s="17"/>
      <c r="E149" s="17"/>
      <c r="F149" s="17"/>
    </row>
    <row r="150" spans="1:6" ht="15.75" customHeight="1" x14ac:dyDescent="0.25">
      <c r="A150" s="17"/>
      <c r="B150" s="17"/>
      <c r="C150" s="17"/>
      <c r="D150" s="17"/>
      <c r="E150" s="17"/>
      <c r="F150" s="17"/>
    </row>
    <row r="151" spans="1:6" ht="15.75" customHeight="1" x14ac:dyDescent="0.25">
      <c r="A151" s="17"/>
      <c r="B151" s="17"/>
      <c r="C151" s="17"/>
      <c r="D151" s="17"/>
      <c r="E151" s="17"/>
      <c r="F151" s="17"/>
    </row>
    <row r="152" spans="1:6" ht="15.75" customHeight="1" x14ac:dyDescent="0.25">
      <c r="A152" s="17"/>
      <c r="B152" s="17"/>
      <c r="C152" s="17"/>
      <c r="D152" s="17"/>
      <c r="E152" s="17"/>
      <c r="F152" s="17"/>
    </row>
    <row r="153" spans="1:6" ht="15.75" customHeight="1" x14ac:dyDescent="0.25">
      <c r="A153" s="17"/>
      <c r="B153" s="17"/>
      <c r="C153" s="17"/>
      <c r="D153" s="17"/>
      <c r="E153" s="17"/>
      <c r="F153" s="17"/>
    </row>
    <row r="154" spans="1:6" ht="15.75" customHeight="1" x14ac:dyDescent="0.25">
      <c r="A154" s="17"/>
      <c r="B154" s="17"/>
      <c r="C154" s="17"/>
      <c r="D154" s="17"/>
      <c r="E154" s="17"/>
      <c r="F154" s="17"/>
    </row>
    <row r="155" spans="1:6" ht="15.75" customHeight="1" x14ac:dyDescent="0.25">
      <c r="A155" s="17"/>
      <c r="B155" s="17"/>
      <c r="C155" s="17"/>
      <c r="D155" s="17"/>
      <c r="E155" s="17"/>
      <c r="F155" s="17"/>
    </row>
    <row r="156" spans="1:6" ht="15.75" customHeight="1" x14ac:dyDescent="0.25">
      <c r="A156" s="17"/>
      <c r="B156" s="17"/>
      <c r="C156" s="17"/>
      <c r="D156" s="17"/>
      <c r="E156" s="17"/>
      <c r="F156" s="17"/>
    </row>
    <row r="157" spans="1:6" ht="15.75" customHeight="1" x14ac:dyDescent="0.25">
      <c r="A157" s="17"/>
      <c r="B157" s="17"/>
      <c r="C157" s="17"/>
      <c r="D157" s="17"/>
      <c r="E157" s="17"/>
      <c r="F157" s="17"/>
    </row>
    <row r="158" spans="1:6" ht="15.75" customHeight="1" x14ac:dyDescent="0.25">
      <c r="A158" s="17"/>
      <c r="B158" s="17"/>
      <c r="C158" s="17"/>
      <c r="D158" s="17"/>
      <c r="E158" s="17"/>
      <c r="F158" s="17"/>
    </row>
    <row r="159" spans="1:6" ht="15.75" customHeight="1" x14ac:dyDescent="0.25">
      <c r="A159" s="17"/>
      <c r="B159" s="17"/>
      <c r="C159" s="17"/>
      <c r="D159" s="17"/>
      <c r="E159" s="17"/>
      <c r="F159" s="17"/>
    </row>
    <row r="160" spans="1:6" ht="15.75" customHeight="1" x14ac:dyDescent="0.25">
      <c r="A160" s="17"/>
      <c r="B160" s="17"/>
      <c r="C160" s="17"/>
      <c r="D160" s="17"/>
      <c r="E160" s="17"/>
      <c r="F160" s="17"/>
    </row>
    <row r="161" spans="1:6" ht="15.75" customHeight="1" x14ac:dyDescent="0.25">
      <c r="A161" s="17"/>
      <c r="B161" s="17"/>
      <c r="C161" s="17"/>
      <c r="D161" s="17"/>
      <c r="E161" s="17"/>
      <c r="F161" s="17"/>
    </row>
    <row r="162" spans="1:6" ht="15.75" customHeight="1" x14ac:dyDescent="0.25">
      <c r="A162" s="6"/>
      <c r="B162" s="6"/>
      <c r="C162" s="6"/>
      <c r="D162" s="6"/>
      <c r="E162" s="6"/>
      <c r="F162" s="6"/>
    </row>
    <row r="163" spans="1:6" ht="15.75" customHeight="1" x14ac:dyDescent="0.25">
      <c r="A163" s="6"/>
      <c r="B163" s="6"/>
      <c r="C163" s="6"/>
      <c r="D163" s="6"/>
      <c r="E163" s="6"/>
      <c r="F163" s="6"/>
    </row>
    <row r="164" spans="1:6" ht="15.75" customHeight="1" x14ac:dyDescent="0.25">
      <c r="A164" s="6"/>
      <c r="B164" s="6"/>
      <c r="C164" s="6"/>
      <c r="D164" s="6"/>
      <c r="E164" s="6"/>
      <c r="F164" s="6"/>
    </row>
    <row r="165" spans="1:6" ht="15.75" customHeight="1" x14ac:dyDescent="0.25">
      <c r="A165" s="6"/>
      <c r="B165" s="6"/>
      <c r="C165" s="6"/>
      <c r="D165" s="6"/>
      <c r="E165" s="6"/>
      <c r="F165" s="6"/>
    </row>
    <row r="166" spans="1:6" ht="15.75" customHeight="1" x14ac:dyDescent="0.25">
      <c r="A166" s="6"/>
      <c r="B166" s="6"/>
      <c r="C166" s="6"/>
      <c r="D166" s="6"/>
      <c r="E166" s="6"/>
      <c r="F166" s="6"/>
    </row>
    <row r="167" spans="1:6" ht="15.75" customHeight="1" x14ac:dyDescent="0.25">
      <c r="A167" s="6"/>
      <c r="B167" s="6"/>
      <c r="C167" s="6"/>
      <c r="D167" s="6"/>
      <c r="E167" s="6"/>
      <c r="F167" s="6"/>
    </row>
    <row r="168" spans="1:6" ht="15.75" customHeight="1" x14ac:dyDescent="0.25">
      <c r="A168" s="6"/>
      <c r="B168" s="6"/>
      <c r="C168" s="6"/>
      <c r="D168" s="6"/>
      <c r="E168" s="6"/>
      <c r="F168" s="6"/>
    </row>
    <row r="169" spans="1:6" ht="15.75" customHeight="1" x14ac:dyDescent="0.25">
      <c r="A169" s="6"/>
      <c r="B169" s="6"/>
      <c r="C169" s="6"/>
      <c r="D169" s="6"/>
      <c r="E169" s="6"/>
      <c r="F169" s="6"/>
    </row>
    <row r="170" spans="1:6" ht="15.75" customHeight="1" x14ac:dyDescent="0.25">
      <c r="A170" s="6"/>
      <c r="B170" s="6"/>
      <c r="C170" s="6"/>
      <c r="D170" s="6"/>
      <c r="E170" s="6"/>
      <c r="F170" s="6"/>
    </row>
    <row r="171" spans="1:6" ht="15.75" customHeight="1" x14ac:dyDescent="0.25">
      <c r="A171" s="6"/>
      <c r="B171" s="6"/>
      <c r="C171" s="6"/>
      <c r="D171" s="6"/>
      <c r="E171" s="6"/>
      <c r="F171" s="6"/>
    </row>
    <row r="172" spans="1:6" ht="15.75" customHeight="1" x14ac:dyDescent="0.25">
      <c r="A172" s="6"/>
      <c r="B172" s="6"/>
      <c r="C172" s="6"/>
      <c r="D172" s="6"/>
      <c r="E172" s="6"/>
      <c r="F172" s="6"/>
    </row>
    <row r="173" spans="1:6" ht="15.75" customHeight="1" x14ac:dyDescent="0.25">
      <c r="A173" s="6"/>
      <c r="B173" s="6"/>
      <c r="C173" s="6"/>
      <c r="D173" s="6"/>
      <c r="E173" s="6"/>
      <c r="F173" s="6"/>
    </row>
    <row r="174" spans="1:6" ht="15.75" customHeight="1" x14ac:dyDescent="0.25">
      <c r="A174" s="6"/>
      <c r="B174" s="6"/>
      <c r="C174" s="6"/>
      <c r="D174" s="6"/>
      <c r="E174" s="6"/>
      <c r="F174" s="6"/>
    </row>
    <row r="175" spans="1:6" ht="15.75" customHeight="1" x14ac:dyDescent="0.25">
      <c r="A175" s="6"/>
      <c r="B175" s="6"/>
      <c r="C175" s="6"/>
      <c r="D175" s="6"/>
      <c r="E175" s="6"/>
      <c r="F175" s="6"/>
    </row>
    <row r="176" spans="1:6" ht="15.75" customHeight="1" x14ac:dyDescent="0.25">
      <c r="A176" s="6"/>
      <c r="B176" s="6"/>
      <c r="C176" s="6"/>
      <c r="D176" s="6"/>
      <c r="E176" s="6"/>
      <c r="F176" s="6"/>
    </row>
    <row r="177" spans="1:6" ht="15.75" customHeight="1" x14ac:dyDescent="0.25">
      <c r="A177" s="6"/>
      <c r="B177" s="6"/>
      <c r="C177" s="6"/>
      <c r="D177" s="6"/>
      <c r="E177" s="6"/>
      <c r="F177" s="6"/>
    </row>
    <row r="178" spans="1:6" ht="15.75" customHeight="1" x14ac:dyDescent="0.25">
      <c r="A178" s="6"/>
      <c r="B178" s="6"/>
      <c r="C178" s="6"/>
      <c r="D178" s="6"/>
      <c r="E178" s="6"/>
      <c r="F178" s="6"/>
    </row>
    <row r="179" spans="1:6" ht="15.75" customHeight="1" x14ac:dyDescent="0.25">
      <c r="A179" s="6"/>
      <c r="B179" s="6"/>
      <c r="C179" s="6"/>
      <c r="D179" s="6"/>
      <c r="E179" s="6"/>
      <c r="F179" s="6"/>
    </row>
    <row r="180" spans="1:6" ht="15.75" customHeight="1" x14ac:dyDescent="0.25">
      <c r="A180" s="6"/>
      <c r="B180" s="6"/>
      <c r="C180" s="6"/>
      <c r="D180" s="6"/>
      <c r="E180" s="6"/>
      <c r="F180" s="6"/>
    </row>
    <row r="181" spans="1:6" ht="15.75" customHeight="1" x14ac:dyDescent="0.25">
      <c r="A181" s="6"/>
      <c r="B181" s="6"/>
      <c r="C181" s="6"/>
      <c r="D181" s="6"/>
      <c r="E181" s="6"/>
      <c r="F181" s="6"/>
    </row>
    <row r="182" spans="1:6" ht="15.75" customHeight="1" x14ac:dyDescent="0.25">
      <c r="A182" s="6"/>
      <c r="B182" s="6"/>
      <c r="C182" s="6"/>
      <c r="D182" s="6"/>
      <c r="E182" s="6"/>
      <c r="F182" s="6"/>
    </row>
    <row r="183" spans="1:6" ht="15.75" customHeight="1" x14ac:dyDescent="0.25">
      <c r="A183" s="6"/>
      <c r="B183" s="6"/>
      <c r="C183" s="6"/>
      <c r="D183" s="6"/>
      <c r="E183" s="6"/>
      <c r="F183" s="6"/>
    </row>
    <row r="184" spans="1:6" ht="15.75" customHeight="1" x14ac:dyDescent="0.25">
      <c r="A184" s="6"/>
      <c r="B184" s="6"/>
      <c r="C184" s="6"/>
      <c r="D184" s="6"/>
      <c r="E184" s="6"/>
      <c r="F184" s="6"/>
    </row>
    <row r="185" spans="1:6" ht="15.75" customHeight="1" x14ac:dyDescent="0.25">
      <c r="A185" s="6"/>
      <c r="B185" s="6"/>
      <c r="C185" s="6"/>
      <c r="D185" s="6"/>
      <c r="E185" s="6"/>
      <c r="F185" s="6"/>
    </row>
    <row r="186" spans="1:6" ht="15.75" customHeight="1" x14ac:dyDescent="0.25">
      <c r="A186" s="6"/>
      <c r="B186" s="6"/>
      <c r="C186" s="6"/>
      <c r="D186" s="6"/>
      <c r="E186" s="6"/>
      <c r="F186" s="6"/>
    </row>
    <row r="187" spans="1:6" ht="15.75" customHeight="1" x14ac:dyDescent="0.25">
      <c r="A187" s="6"/>
      <c r="B187" s="6"/>
      <c r="C187" s="6"/>
      <c r="D187" s="6"/>
      <c r="E187" s="6"/>
      <c r="F187" s="6"/>
    </row>
    <row r="188" spans="1:6" ht="15.75" customHeight="1" x14ac:dyDescent="0.25">
      <c r="A188" s="6"/>
      <c r="B188" s="6"/>
      <c r="C188" s="6"/>
      <c r="D188" s="6"/>
      <c r="E188" s="6"/>
      <c r="F188" s="6"/>
    </row>
    <row r="189" spans="1:6" ht="15.75" customHeight="1" x14ac:dyDescent="0.25">
      <c r="A189" s="6"/>
      <c r="B189" s="6"/>
      <c r="C189" s="6"/>
      <c r="D189" s="6"/>
      <c r="E189" s="6"/>
      <c r="F189" s="6"/>
    </row>
    <row r="190" spans="1:6" ht="15.75" customHeight="1" x14ac:dyDescent="0.25">
      <c r="A190" s="6"/>
      <c r="B190" s="6"/>
      <c r="C190" s="6"/>
      <c r="D190" s="6"/>
      <c r="E190" s="6"/>
      <c r="F190" s="6"/>
    </row>
    <row r="191" spans="1:6" ht="15.75" customHeight="1" x14ac:dyDescent="0.25">
      <c r="A191" s="6"/>
      <c r="B191" s="6"/>
      <c r="C191" s="6"/>
      <c r="D191" s="6"/>
      <c r="E191" s="6"/>
      <c r="F191" s="6"/>
    </row>
    <row r="192" spans="1:6" ht="15.75" customHeight="1" x14ac:dyDescent="0.25">
      <c r="A192" s="6"/>
      <c r="B192" s="6"/>
      <c r="C192" s="6"/>
      <c r="D192" s="6"/>
      <c r="E192" s="6"/>
      <c r="F192" s="6"/>
    </row>
    <row r="193" spans="1:6" ht="15.75" customHeight="1" x14ac:dyDescent="0.25">
      <c r="A193" s="6"/>
      <c r="B193" s="6"/>
      <c r="C193" s="6"/>
      <c r="D193" s="6"/>
      <c r="E193" s="6"/>
      <c r="F193" s="6"/>
    </row>
    <row r="194" spans="1:6" ht="15.75" customHeight="1" x14ac:dyDescent="0.25">
      <c r="A194" s="6"/>
      <c r="B194" s="6"/>
      <c r="C194" s="6"/>
      <c r="D194" s="6"/>
      <c r="E194" s="6"/>
      <c r="F194" s="6"/>
    </row>
    <row r="195" spans="1:6" ht="15.75" customHeight="1" x14ac:dyDescent="0.25">
      <c r="A195" s="6"/>
      <c r="B195" s="6"/>
      <c r="C195" s="6"/>
      <c r="D195" s="6"/>
      <c r="E195" s="6"/>
      <c r="F195" s="6"/>
    </row>
    <row r="196" spans="1:6" ht="15.75" customHeight="1" x14ac:dyDescent="0.25">
      <c r="A196" s="6"/>
      <c r="B196" s="6"/>
      <c r="C196" s="6"/>
      <c r="D196" s="6"/>
      <c r="E196" s="6"/>
      <c r="F196" s="6"/>
    </row>
    <row r="197" spans="1:6" ht="15.75" customHeight="1" x14ac:dyDescent="0.25">
      <c r="A197" s="6"/>
      <c r="B197" s="6"/>
      <c r="C197" s="6"/>
      <c r="D197" s="6"/>
      <c r="E197" s="6"/>
      <c r="F197" s="6"/>
    </row>
    <row r="198" spans="1:6" ht="15.75" customHeight="1" x14ac:dyDescent="0.25">
      <c r="A198" s="6"/>
      <c r="B198" s="6"/>
      <c r="C198" s="6"/>
      <c r="D198" s="6"/>
      <c r="E198" s="6"/>
      <c r="F198" s="6"/>
    </row>
    <row r="199" spans="1:6" ht="15.75" customHeight="1" x14ac:dyDescent="0.25">
      <c r="A199" s="6"/>
      <c r="B199" s="6"/>
      <c r="C199" s="6"/>
      <c r="D199" s="6"/>
      <c r="E199" s="6"/>
      <c r="F199" s="6"/>
    </row>
    <row r="200" spans="1:6" ht="15.75" customHeight="1" x14ac:dyDescent="0.25">
      <c r="A200" s="6"/>
      <c r="B200" s="6"/>
      <c r="C200" s="6"/>
      <c r="D200" s="6"/>
      <c r="E200" s="6"/>
      <c r="F200" s="6"/>
    </row>
    <row r="201" spans="1:6" ht="15.75" customHeight="1" x14ac:dyDescent="0.25">
      <c r="A201" s="6"/>
      <c r="B201" s="6"/>
      <c r="C201" s="6"/>
      <c r="D201" s="6"/>
      <c r="E201" s="6"/>
      <c r="F201" s="6"/>
    </row>
    <row r="202" spans="1:6" ht="15.75" customHeight="1" x14ac:dyDescent="0.25">
      <c r="A202" s="6"/>
      <c r="B202" s="6"/>
      <c r="C202" s="6"/>
      <c r="D202" s="6"/>
      <c r="E202" s="6"/>
      <c r="F202" s="6"/>
    </row>
    <row r="203" spans="1:6" ht="15.75" customHeight="1" x14ac:dyDescent="0.25">
      <c r="A203" s="6"/>
      <c r="B203" s="6"/>
      <c r="C203" s="6"/>
      <c r="D203" s="6"/>
      <c r="E203" s="6"/>
      <c r="F203" s="6"/>
    </row>
    <row r="204" spans="1:6" ht="15.75" customHeight="1" x14ac:dyDescent="0.25">
      <c r="A204" s="6"/>
      <c r="B204" s="6"/>
      <c r="C204" s="6"/>
      <c r="D204" s="6"/>
      <c r="E204" s="6"/>
      <c r="F204" s="6"/>
    </row>
    <row r="205" spans="1:6" ht="15.75" customHeight="1" x14ac:dyDescent="0.25">
      <c r="A205" s="6"/>
      <c r="B205" s="6"/>
      <c r="C205" s="6"/>
      <c r="D205" s="6"/>
      <c r="E205" s="6"/>
      <c r="F205" s="6"/>
    </row>
    <row r="206" spans="1:6" ht="15.75" customHeight="1" x14ac:dyDescent="0.25">
      <c r="A206" s="6"/>
      <c r="B206" s="6"/>
      <c r="C206" s="6"/>
      <c r="D206" s="6"/>
      <c r="E206" s="6"/>
      <c r="F206" s="6"/>
    </row>
    <row r="207" spans="1:6" ht="15.75" customHeight="1" x14ac:dyDescent="0.25">
      <c r="A207" s="6"/>
      <c r="B207" s="6"/>
      <c r="C207" s="6"/>
      <c r="D207" s="6"/>
      <c r="E207" s="6"/>
      <c r="F207" s="6"/>
    </row>
    <row r="208" spans="1:6" ht="15.75" customHeight="1" x14ac:dyDescent="0.25">
      <c r="A208" s="6"/>
      <c r="B208" s="6"/>
      <c r="C208" s="6"/>
      <c r="D208" s="6"/>
      <c r="E208" s="6"/>
      <c r="F208" s="6"/>
    </row>
    <row r="209" spans="1:6" ht="15.75" customHeight="1" x14ac:dyDescent="0.25">
      <c r="A209" s="6"/>
      <c r="B209" s="6"/>
      <c r="C209" s="6"/>
      <c r="D209" s="6"/>
      <c r="E209" s="6"/>
      <c r="F209" s="6"/>
    </row>
    <row r="210" spans="1:6" ht="15.75" customHeight="1" x14ac:dyDescent="0.25">
      <c r="A210" s="6"/>
      <c r="B210" s="6"/>
      <c r="C210" s="6"/>
      <c r="D210" s="6"/>
      <c r="E210" s="6"/>
      <c r="F210" s="6"/>
    </row>
    <row r="211" spans="1:6" ht="15.75" customHeight="1" x14ac:dyDescent="0.25">
      <c r="A211" s="6"/>
      <c r="B211" s="6"/>
      <c r="C211" s="6"/>
      <c r="D211" s="6"/>
      <c r="E211" s="6"/>
      <c r="F211" s="6"/>
    </row>
    <row r="212" spans="1:6" ht="15.75" customHeight="1" x14ac:dyDescent="0.25">
      <c r="A212" s="6"/>
      <c r="B212" s="6"/>
      <c r="C212" s="6"/>
      <c r="D212" s="6"/>
      <c r="E212" s="6"/>
      <c r="F212" s="6"/>
    </row>
    <row r="213" spans="1:6" ht="15.75" customHeight="1" x14ac:dyDescent="0.25">
      <c r="A213" s="6"/>
      <c r="B213" s="6"/>
      <c r="C213" s="6"/>
      <c r="D213" s="6"/>
      <c r="E213" s="6"/>
      <c r="F213" s="6"/>
    </row>
    <row r="214" spans="1:6" ht="15.75" customHeight="1" x14ac:dyDescent="0.25">
      <c r="A214" s="6"/>
      <c r="B214" s="6"/>
      <c r="C214" s="6"/>
      <c r="D214" s="6"/>
      <c r="E214" s="6"/>
      <c r="F214" s="6"/>
    </row>
    <row r="215" spans="1:6" ht="15.75" customHeight="1" x14ac:dyDescent="0.25">
      <c r="A215" s="6"/>
      <c r="B215" s="6"/>
      <c r="C215" s="6"/>
      <c r="D215" s="6"/>
      <c r="E215" s="6"/>
      <c r="F215" s="6"/>
    </row>
    <row r="216" spans="1:6" ht="15.75" customHeight="1" x14ac:dyDescent="0.25">
      <c r="A216" s="6"/>
      <c r="B216" s="6"/>
      <c r="C216" s="6"/>
      <c r="D216" s="6"/>
      <c r="E216" s="6"/>
      <c r="F216" s="6"/>
    </row>
    <row r="217" spans="1:6" ht="15.75" customHeight="1" x14ac:dyDescent="0.25">
      <c r="A217" s="6"/>
      <c r="B217" s="6"/>
      <c r="C217" s="6"/>
      <c r="D217" s="6"/>
      <c r="E217" s="6"/>
      <c r="F217" s="6"/>
    </row>
    <row r="218" spans="1:6" ht="15.75" customHeight="1" x14ac:dyDescent="0.25">
      <c r="A218" s="6"/>
      <c r="B218" s="6"/>
      <c r="C218" s="6"/>
      <c r="D218" s="6"/>
      <c r="E218" s="6"/>
      <c r="F218" s="6"/>
    </row>
    <row r="219" spans="1:6" ht="15.75" customHeight="1" x14ac:dyDescent="0.25">
      <c r="A219" s="6"/>
      <c r="B219" s="6"/>
      <c r="C219" s="6"/>
      <c r="D219" s="6"/>
      <c r="E219" s="6"/>
      <c r="F219" s="6"/>
    </row>
    <row r="220" spans="1:6" ht="15.75" customHeight="1" x14ac:dyDescent="0.25">
      <c r="A220" s="6"/>
      <c r="B220" s="6"/>
      <c r="C220" s="6"/>
      <c r="D220" s="6"/>
      <c r="E220" s="6"/>
      <c r="F220" s="6"/>
    </row>
    <row r="221" spans="1:6" ht="15.75" customHeight="1" x14ac:dyDescent="0.25">
      <c r="A221" s="6"/>
      <c r="B221" s="6"/>
      <c r="C221" s="6"/>
      <c r="D221" s="6"/>
      <c r="E221" s="6"/>
      <c r="F221" s="6"/>
    </row>
    <row r="222" spans="1:6" ht="15.75" customHeight="1" x14ac:dyDescent="0.25">
      <c r="A222" s="6"/>
      <c r="B222" s="6"/>
      <c r="C222" s="6"/>
      <c r="D222" s="6"/>
      <c r="E222" s="6"/>
      <c r="F222" s="6"/>
    </row>
    <row r="223" spans="1:6" ht="15.75" customHeight="1" x14ac:dyDescent="0.25">
      <c r="A223" s="6"/>
      <c r="B223" s="6"/>
      <c r="C223" s="6"/>
      <c r="D223" s="6"/>
      <c r="E223" s="6"/>
      <c r="F223" s="6"/>
    </row>
    <row r="224" spans="1:6" ht="15.75" customHeight="1" x14ac:dyDescent="0.25">
      <c r="A224" s="6"/>
      <c r="B224" s="6"/>
      <c r="C224" s="6"/>
      <c r="D224" s="6"/>
      <c r="E224" s="6"/>
      <c r="F224" s="6"/>
    </row>
    <row r="225" spans="1:6" ht="15.75" customHeight="1" x14ac:dyDescent="0.25">
      <c r="A225" s="6"/>
      <c r="B225" s="6"/>
      <c r="C225" s="6"/>
      <c r="D225" s="6"/>
      <c r="E225" s="6"/>
      <c r="F225" s="6"/>
    </row>
    <row r="226" spans="1:6" ht="15.75" customHeight="1" x14ac:dyDescent="0.25">
      <c r="A226" s="6"/>
      <c r="B226" s="6"/>
      <c r="C226" s="6"/>
      <c r="D226" s="6"/>
      <c r="E226" s="6"/>
      <c r="F226" s="6"/>
    </row>
    <row r="227" spans="1:6" ht="15.75" customHeight="1" x14ac:dyDescent="0.25">
      <c r="A227" s="6"/>
      <c r="B227" s="6"/>
      <c r="C227" s="6"/>
      <c r="D227" s="6"/>
      <c r="E227" s="6"/>
      <c r="F227" s="6"/>
    </row>
    <row r="228" spans="1:6" ht="15.75" customHeight="1" x14ac:dyDescent="0.25">
      <c r="A228" s="6"/>
      <c r="B228" s="6"/>
      <c r="C228" s="6"/>
      <c r="D228" s="6"/>
      <c r="E228" s="6"/>
      <c r="F228" s="6"/>
    </row>
    <row r="229" spans="1:6" ht="15.75" customHeight="1" x14ac:dyDescent="0.25">
      <c r="A229" s="6"/>
      <c r="B229" s="6"/>
      <c r="C229" s="6"/>
      <c r="D229" s="6"/>
      <c r="E229" s="6"/>
      <c r="F229" s="6"/>
    </row>
    <row r="230" spans="1:6" ht="15.75" customHeight="1" x14ac:dyDescent="0.25">
      <c r="A230" s="6"/>
      <c r="B230" s="6"/>
      <c r="C230" s="6"/>
      <c r="D230" s="6"/>
      <c r="E230" s="6"/>
      <c r="F230" s="6"/>
    </row>
    <row r="231" spans="1:6" ht="15.75" customHeight="1" x14ac:dyDescent="0.25">
      <c r="A231" s="6"/>
      <c r="B231" s="6"/>
      <c r="C231" s="6"/>
      <c r="D231" s="6"/>
      <c r="E231" s="6"/>
      <c r="F231" s="6"/>
    </row>
    <row r="232" spans="1:6" ht="15.75" customHeight="1" x14ac:dyDescent="0.25">
      <c r="A232" s="6"/>
      <c r="B232" s="6"/>
      <c r="C232" s="6"/>
      <c r="D232" s="6"/>
      <c r="E232" s="6"/>
      <c r="F232" s="6"/>
    </row>
    <row r="233" spans="1:6" ht="15.75" customHeight="1" x14ac:dyDescent="0.25">
      <c r="A233" s="6"/>
      <c r="B233" s="6"/>
      <c r="C233" s="6"/>
      <c r="D233" s="6"/>
      <c r="E233" s="6"/>
      <c r="F233" s="6"/>
    </row>
    <row r="234" spans="1:6" ht="15.75" customHeight="1" x14ac:dyDescent="0.25">
      <c r="A234" s="6"/>
      <c r="B234" s="6"/>
      <c r="C234" s="6"/>
      <c r="D234" s="6"/>
      <c r="E234" s="6"/>
      <c r="F234" s="6"/>
    </row>
    <row r="235" spans="1:6" ht="15.75" customHeight="1" x14ac:dyDescent="0.25">
      <c r="A235" s="6"/>
      <c r="B235" s="6"/>
      <c r="C235" s="6"/>
      <c r="D235" s="6"/>
      <c r="E235" s="6"/>
      <c r="F235" s="6"/>
    </row>
    <row r="236" spans="1:6" ht="15.75" customHeight="1" x14ac:dyDescent="0.25">
      <c r="A236" s="6"/>
      <c r="B236" s="6"/>
      <c r="C236" s="6"/>
      <c r="D236" s="6"/>
      <c r="E236" s="6"/>
      <c r="F236" s="6"/>
    </row>
    <row r="237" spans="1:6" ht="15.75" customHeight="1" x14ac:dyDescent="0.25">
      <c r="A237" s="6"/>
      <c r="B237" s="6"/>
      <c r="C237" s="6"/>
      <c r="D237" s="6"/>
      <c r="E237" s="6"/>
      <c r="F237" s="6"/>
    </row>
    <row r="238" spans="1:6" ht="15.75" customHeight="1" x14ac:dyDescent="0.25">
      <c r="A238" s="6"/>
      <c r="B238" s="6"/>
      <c r="C238" s="6"/>
      <c r="D238" s="6"/>
      <c r="E238" s="6"/>
      <c r="F238" s="6"/>
    </row>
    <row r="239" spans="1:6" ht="15.75" customHeight="1" x14ac:dyDescent="0.25">
      <c r="A239" s="6"/>
      <c r="B239" s="6"/>
      <c r="C239" s="6"/>
      <c r="D239" s="6"/>
      <c r="E239" s="6"/>
      <c r="F239" s="6"/>
    </row>
    <row r="240" spans="1:6" ht="15.75" customHeight="1" x14ac:dyDescent="0.25">
      <c r="A240" s="6"/>
      <c r="B240" s="6"/>
      <c r="C240" s="6"/>
      <c r="D240" s="6"/>
      <c r="E240" s="6"/>
      <c r="F240" s="6"/>
    </row>
    <row r="241" spans="1:6" ht="15.75" customHeight="1" x14ac:dyDescent="0.25">
      <c r="A241" s="6"/>
      <c r="B241" s="6"/>
      <c r="C241" s="6"/>
      <c r="D241" s="6"/>
      <c r="E241" s="6"/>
      <c r="F241" s="6"/>
    </row>
    <row r="242" spans="1:6" ht="15.75" customHeight="1" x14ac:dyDescent="0.25">
      <c r="A242" s="6"/>
      <c r="B242" s="6"/>
      <c r="C242" s="6"/>
      <c r="D242" s="6"/>
      <c r="E242" s="6"/>
      <c r="F242" s="6"/>
    </row>
    <row r="243" spans="1:6" ht="15.75" customHeight="1" x14ac:dyDescent="0.25">
      <c r="A243" s="6"/>
      <c r="B243" s="6"/>
      <c r="C243" s="6"/>
      <c r="D243" s="6"/>
      <c r="E243" s="6"/>
      <c r="F243" s="6"/>
    </row>
    <row r="244" spans="1:6" ht="15.75" customHeight="1" x14ac:dyDescent="0.25">
      <c r="A244" s="6"/>
      <c r="B244" s="6"/>
      <c r="C244" s="6"/>
      <c r="D244" s="6"/>
      <c r="E244" s="6"/>
      <c r="F244" s="6"/>
    </row>
    <row r="245" spans="1:6" ht="15.75" customHeight="1" x14ac:dyDescent="0.25">
      <c r="A245" s="6"/>
      <c r="B245" s="6"/>
      <c r="C245" s="6"/>
      <c r="D245" s="6"/>
      <c r="E245" s="6"/>
      <c r="F245" s="6"/>
    </row>
    <row r="246" spans="1:6" ht="15.75" customHeight="1" x14ac:dyDescent="0.25">
      <c r="A246" s="6"/>
      <c r="B246" s="6"/>
      <c r="C246" s="6"/>
      <c r="D246" s="6"/>
      <c r="E246" s="6"/>
      <c r="F246" s="6"/>
    </row>
    <row r="247" spans="1:6" ht="15.75" customHeight="1" x14ac:dyDescent="0.25">
      <c r="A247" s="6"/>
      <c r="B247" s="6"/>
      <c r="C247" s="6"/>
      <c r="D247" s="6"/>
      <c r="E247" s="6"/>
      <c r="F247" s="6"/>
    </row>
    <row r="248" spans="1:6" ht="15.75" customHeight="1" x14ac:dyDescent="0.25">
      <c r="A248" s="6"/>
      <c r="B248" s="6"/>
      <c r="C248" s="6"/>
      <c r="D248" s="6"/>
      <c r="E248" s="6"/>
      <c r="F248" s="6"/>
    </row>
    <row r="249" spans="1:6" ht="15.75" customHeight="1" x14ac:dyDescent="0.25">
      <c r="A249" s="6"/>
      <c r="B249" s="6"/>
      <c r="C249" s="6"/>
      <c r="D249" s="6"/>
      <c r="E249" s="6"/>
      <c r="F249" s="6"/>
    </row>
    <row r="250" spans="1:6" ht="15.75" customHeight="1" x14ac:dyDescent="0.25">
      <c r="A250" s="6"/>
      <c r="B250" s="6"/>
      <c r="C250" s="6"/>
      <c r="D250" s="6"/>
      <c r="E250" s="6"/>
      <c r="F250" s="6"/>
    </row>
    <row r="251" spans="1:6" ht="15.75" customHeight="1" x14ac:dyDescent="0.25">
      <c r="A251" s="6"/>
      <c r="B251" s="6"/>
      <c r="C251" s="6"/>
      <c r="D251" s="6"/>
      <c r="E251" s="6"/>
      <c r="F251" s="6"/>
    </row>
    <row r="252" spans="1:6" ht="15.75" customHeight="1" x14ac:dyDescent="0.25">
      <c r="A252" s="6"/>
      <c r="B252" s="6"/>
      <c r="C252" s="6"/>
      <c r="D252" s="6"/>
      <c r="E252" s="6"/>
      <c r="F252" s="6"/>
    </row>
    <row r="253" spans="1:6" ht="15.75" customHeight="1" x14ac:dyDescent="0.25">
      <c r="A253" s="6"/>
      <c r="B253" s="6"/>
      <c r="C253" s="6"/>
      <c r="D253" s="6"/>
      <c r="E253" s="6"/>
      <c r="F253" s="6"/>
    </row>
    <row r="254" spans="1:6" ht="15.75" customHeight="1" x14ac:dyDescent="0.25">
      <c r="A254" s="6"/>
      <c r="B254" s="6"/>
      <c r="C254" s="6"/>
      <c r="D254" s="6"/>
      <c r="E254" s="6"/>
      <c r="F254" s="6"/>
    </row>
    <row r="255" spans="1:6" ht="15.75" customHeight="1" x14ac:dyDescent="0.25">
      <c r="A255" s="6"/>
      <c r="B255" s="6"/>
      <c r="C255" s="6"/>
      <c r="D255" s="6"/>
      <c r="E255" s="6"/>
      <c r="F255" s="6"/>
    </row>
    <row r="256" spans="1:6" ht="15.75" customHeight="1" x14ac:dyDescent="0.25">
      <c r="A256" s="6"/>
      <c r="B256" s="6"/>
      <c r="C256" s="6"/>
      <c r="D256" s="6"/>
      <c r="E256" s="6"/>
      <c r="F256" s="6"/>
    </row>
    <row r="257" spans="1:6" ht="15.75" customHeight="1" x14ac:dyDescent="0.25">
      <c r="A257" s="6"/>
      <c r="B257" s="6"/>
      <c r="C257" s="6"/>
      <c r="D257" s="6"/>
      <c r="E257" s="6"/>
      <c r="F257" s="6"/>
    </row>
    <row r="258" spans="1:6" ht="15.75" customHeight="1" x14ac:dyDescent="0.25">
      <c r="A258" s="6"/>
      <c r="B258" s="6"/>
      <c r="C258" s="6"/>
      <c r="D258" s="6"/>
      <c r="E258" s="6"/>
      <c r="F258" s="6"/>
    </row>
    <row r="259" spans="1:6" ht="15.75" customHeight="1" x14ac:dyDescent="0.25">
      <c r="A259" s="6"/>
      <c r="B259" s="6"/>
      <c r="C259" s="6"/>
      <c r="D259" s="6"/>
      <c r="E259" s="6"/>
      <c r="F259" s="6"/>
    </row>
    <row r="260" spans="1:6" ht="15.75" customHeight="1" x14ac:dyDescent="0.25">
      <c r="A260" s="6"/>
      <c r="B260" s="6"/>
      <c r="C260" s="6"/>
      <c r="D260" s="6"/>
      <c r="E260" s="6"/>
      <c r="F260" s="6"/>
    </row>
    <row r="261" spans="1:6" ht="15.75" customHeight="1" x14ac:dyDescent="0.25">
      <c r="A261" s="6"/>
      <c r="B261" s="6"/>
      <c r="C261" s="6"/>
      <c r="D261" s="6"/>
      <c r="E261" s="6"/>
      <c r="F261" s="6"/>
    </row>
    <row r="262" spans="1:6" ht="15.75" customHeight="1" x14ac:dyDescent="0.25">
      <c r="A262" s="6"/>
      <c r="B262" s="6"/>
      <c r="C262" s="6"/>
      <c r="D262" s="6"/>
      <c r="E262" s="6"/>
      <c r="F262" s="6"/>
    </row>
    <row r="263" spans="1:6" ht="15.75" customHeight="1" x14ac:dyDescent="0.25">
      <c r="A263" s="6"/>
      <c r="B263" s="6"/>
      <c r="C263" s="6"/>
      <c r="D263" s="6"/>
      <c r="E263" s="6"/>
      <c r="F263" s="6"/>
    </row>
    <row r="264" spans="1:6" ht="15.75" customHeight="1" x14ac:dyDescent="0.25">
      <c r="A264" s="6"/>
      <c r="B264" s="6"/>
      <c r="C264" s="6"/>
      <c r="D264" s="6"/>
      <c r="E264" s="6"/>
      <c r="F264" s="6"/>
    </row>
    <row r="265" spans="1:6" ht="15.75" customHeight="1" x14ac:dyDescent="0.25">
      <c r="A265" s="6"/>
      <c r="B265" s="6"/>
      <c r="C265" s="6"/>
      <c r="D265" s="6"/>
      <c r="E265" s="6"/>
      <c r="F265" s="6"/>
    </row>
    <row r="266" spans="1:6" ht="15.75" customHeight="1" x14ac:dyDescent="0.25">
      <c r="A266" s="6"/>
      <c r="B266" s="6"/>
      <c r="C266" s="6"/>
      <c r="D266" s="6"/>
      <c r="E266" s="6"/>
      <c r="F266" s="6"/>
    </row>
    <row r="267" spans="1:6" ht="15.75" customHeight="1" x14ac:dyDescent="0.25">
      <c r="A267" s="6"/>
      <c r="B267" s="6"/>
      <c r="C267" s="6"/>
      <c r="D267" s="6"/>
      <c r="E267" s="6"/>
      <c r="F267" s="6"/>
    </row>
    <row r="268" spans="1:6" ht="15.75" customHeight="1" x14ac:dyDescent="0.25">
      <c r="A268" s="6"/>
      <c r="B268" s="6"/>
      <c r="C268" s="6"/>
      <c r="D268" s="6"/>
      <c r="E268" s="6"/>
      <c r="F268" s="6"/>
    </row>
    <row r="269" spans="1:6" ht="15.75" customHeight="1" x14ac:dyDescent="0.25">
      <c r="A269" s="6"/>
      <c r="B269" s="6"/>
      <c r="C269" s="6"/>
      <c r="D269" s="6"/>
      <c r="E269" s="6"/>
      <c r="F269" s="6"/>
    </row>
    <row r="270" spans="1:6" ht="15.75" customHeight="1" x14ac:dyDescent="0.25">
      <c r="A270" s="6"/>
      <c r="B270" s="6"/>
      <c r="C270" s="6"/>
      <c r="D270" s="6"/>
      <c r="E270" s="6"/>
      <c r="F270" s="6"/>
    </row>
    <row r="271" spans="1:6" ht="15.75" customHeight="1" x14ac:dyDescent="0.25">
      <c r="A271" s="6"/>
      <c r="B271" s="6"/>
      <c r="C271" s="6"/>
      <c r="D271" s="6"/>
      <c r="E271" s="6"/>
      <c r="F271" s="6"/>
    </row>
    <row r="272" spans="1:6" ht="15.75" customHeight="1" x14ac:dyDescent="0.25">
      <c r="A272" s="6"/>
      <c r="B272" s="6"/>
      <c r="C272" s="6"/>
      <c r="D272" s="6"/>
      <c r="E272" s="6"/>
      <c r="F272" s="6"/>
    </row>
    <row r="273" spans="1:6" ht="15.75" customHeight="1" x14ac:dyDescent="0.25">
      <c r="A273" s="6"/>
      <c r="B273" s="6"/>
      <c r="C273" s="6"/>
      <c r="D273" s="6"/>
      <c r="E273" s="6"/>
      <c r="F273" s="6"/>
    </row>
    <row r="274" spans="1:6" ht="15.75" customHeight="1" x14ac:dyDescent="0.25">
      <c r="A274" s="6"/>
      <c r="B274" s="6"/>
      <c r="C274" s="6"/>
      <c r="D274" s="6"/>
      <c r="E274" s="6"/>
      <c r="F274" s="6"/>
    </row>
    <row r="275" spans="1:6" ht="15.75" customHeight="1" x14ac:dyDescent="0.25">
      <c r="A275" s="6"/>
      <c r="B275" s="6"/>
      <c r="C275" s="6"/>
      <c r="D275" s="6"/>
      <c r="E275" s="6"/>
      <c r="F275" s="6"/>
    </row>
    <row r="276" spans="1:6" ht="15.75" customHeight="1" x14ac:dyDescent="0.25">
      <c r="A276" s="6"/>
      <c r="B276" s="6"/>
      <c r="C276" s="6"/>
      <c r="D276" s="6"/>
      <c r="E276" s="6"/>
      <c r="F276" s="6"/>
    </row>
    <row r="277" spans="1:6" ht="15.75" customHeight="1" x14ac:dyDescent="0.25">
      <c r="A277" s="6"/>
      <c r="B277" s="6"/>
      <c r="C277" s="6"/>
      <c r="D277" s="6"/>
      <c r="E277" s="6"/>
      <c r="F277" s="6"/>
    </row>
    <row r="278" spans="1:6" ht="15.75" customHeight="1" x14ac:dyDescent="0.25">
      <c r="A278" s="6"/>
      <c r="B278" s="6"/>
      <c r="C278" s="6"/>
      <c r="D278" s="6"/>
      <c r="E278" s="6"/>
      <c r="F278" s="6"/>
    </row>
    <row r="279" spans="1:6" ht="15.75" customHeight="1" x14ac:dyDescent="0.25">
      <c r="A279" s="6"/>
      <c r="B279" s="6"/>
      <c r="C279" s="6"/>
      <c r="D279" s="6"/>
      <c r="E279" s="6"/>
      <c r="F279" s="6"/>
    </row>
    <row r="280" spans="1:6" ht="15.75" customHeight="1" x14ac:dyDescent="0.25">
      <c r="A280" s="6"/>
      <c r="B280" s="6"/>
      <c r="C280" s="6"/>
      <c r="D280" s="6"/>
      <c r="E280" s="6"/>
      <c r="F280" s="6"/>
    </row>
    <row r="281" spans="1:6" ht="15.75" customHeight="1" x14ac:dyDescent="0.25">
      <c r="A281" s="6"/>
      <c r="B281" s="6"/>
      <c r="C281" s="6"/>
      <c r="D281" s="6"/>
      <c r="E281" s="6"/>
      <c r="F281" s="6"/>
    </row>
    <row r="282" spans="1:6" ht="15.75" customHeight="1" x14ac:dyDescent="0.25">
      <c r="A282" s="6"/>
      <c r="B282" s="6"/>
      <c r="C282" s="6"/>
      <c r="D282" s="6"/>
      <c r="E282" s="6"/>
      <c r="F282" s="6"/>
    </row>
    <row r="283" spans="1:6" ht="15.75" customHeight="1" x14ac:dyDescent="0.25">
      <c r="A283" s="6"/>
      <c r="B283" s="6"/>
      <c r="C283" s="6"/>
      <c r="D283" s="6"/>
      <c r="E283" s="6"/>
      <c r="F283" s="6"/>
    </row>
    <row r="284" spans="1:6" ht="15.75" customHeight="1" x14ac:dyDescent="0.25">
      <c r="A284" s="6"/>
      <c r="B284" s="6"/>
      <c r="C284" s="6"/>
      <c r="D284" s="6"/>
      <c r="E284" s="6"/>
      <c r="F284" s="6"/>
    </row>
    <row r="285" spans="1:6" ht="15.75" customHeight="1" x14ac:dyDescent="0.25">
      <c r="A285" s="6"/>
      <c r="B285" s="6"/>
      <c r="C285" s="6"/>
      <c r="D285" s="6"/>
      <c r="E285" s="6"/>
      <c r="F285" s="6"/>
    </row>
    <row r="286" spans="1:6" ht="15.75" customHeight="1" x14ac:dyDescent="0.25">
      <c r="A286" s="6"/>
      <c r="B286" s="6"/>
      <c r="C286" s="6"/>
      <c r="D286" s="6"/>
      <c r="E286" s="6"/>
      <c r="F286" s="6"/>
    </row>
    <row r="287" spans="1:6" ht="15.75" customHeight="1" x14ac:dyDescent="0.25">
      <c r="A287" s="6"/>
      <c r="B287" s="6"/>
      <c r="C287" s="6"/>
      <c r="D287" s="6"/>
      <c r="E287" s="6"/>
      <c r="F287" s="6"/>
    </row>
    <row r="288" spans="1:6" ht="15.75" customHeight="1" x14ac:dyDescent="0.25">
      <c r="A288" s="6"/>
      <c r="B288" s="6"/>
      <c r="C288" s="6"/>
      <c r="D288" s="6"/>
      <c r="E288" s="6"/>
      <c r="F288" s="6"/>
    </row>
    <row r="289" spans="1:6" ht="15.75" customHeight="1" x14ac:dyDescent="0.25">
      <c r="A289" s="6"/>
      <c r="B289" s="6"/>
      <c r="C289" s="6"/>
      <c r="D289" s="6"/>
      <c r="E289" s="6"/>
      <c r="F289" s="6"/>
    </row>
    <row r="290" spans="1:6" ht="15.75" customHeight="1" x14ac:dyDescent="0.25">
      <c r="A290" s="6"/>
      <c r="B290" s="6"/>
      <c r="C290" s="6"/>
      <c r="D290" s="6"/>
      <c r="E290" s="6"/>
      <c r="F290" s="6"/>
    </row>
    <row r="291" spans="1:6" ht="15.75" customHeight="1" x14ac:dyDescent="0.25">
      <c r="A291" s="6"/>
      <c r="B291" s="6"/>
      <c r="C291" s="6"/>
      <c r="D291" s="6"/>
      <c r="E291" s="6"/>
      <c r="F291" s="6"/>
    </row>
    <row r="292" spans="1:6" ht="15.75" customHeight="1" x14ac:dyDescent="0.25">
      <c r="A292" s="6"/>
      <c r="B292" s="6"/>
      <c r="C292" s="6"/>
      <c r="D292" s="6"/>
      <c r="E292" s="6"/>
      <c r="F292" s="6"/>
    </row>
    <row r="293" spans="1:6" ht="15.75" customHeight="1" x14ac:dyDescent="0.25">
      <c r="A293" s="6"/>
      <c r="B293" s="6"/>
      <c r="C293" s="6"/>
      <c r="D293" s="6"/>
      <c r="E293" s="6"/>
      <c r="F293" s="6"/>
    </row>
    <row r="294" spans="1:6" ht="15.75" customHeight="1" x14ac:dyDescent="0.25">
      <c r="A294" s="6"/>
      <c r="B294" s="6"/>
      <c r="C294" s="6"/>
      <c r="D294" s="6"/>
      <c r="E294" s="6"/>
      <c r="F294" s="6"/>
    </row>
    <row r="295" spans="1:6" ht="15.75" customHeight="1" x14ac:dyDescent="0.25">
      <c r="A295" s="6"/>
      <c r="B295" s="6"/>
      <c r="C295" s="6"/>
      <c r="D295" s="6"/>
      <c r="E295" s="6"/>
      <c r="F295" s="6"/>
    </row>
    <row r="296" spans="1:6" ht="15.75" customHeight="1" x14ac:dyDescent="0.25">
      <c r="A296" s="6"/>
      <c r="B296" s="6"/>
      <c r="C296" s="6"/>
      <c r="D296" s="6"/>
      <c r="E296" s="6"/>
      <c r="F296" s="6"/>
    </row>
    <row r="297" spans="1:6" ht="15.75" customHeight="1" x14ac:dyDescent="0.25">
      <c r="A297" s="6"/>
      <c r="B297" s="6"/>
      <c r="C297" s="6"/>
      <c r="D297" s="6"/>
      <c r="E297" s="6"/>
      <c r="F297" s="6"/>
    </row>
    <row r="298" spans="1:6" ht="15.75" customHeight="1" x14ac:dyDescent="0.25">
      <c r="A298" s="6"/>
      <c r="B298" s="6"/>
      <c r="C298" s="6"/>
      <c r="D298" s="6"/>
      <c r="E298" s="6"/>
      <c r="F298" s="6"/>
    </row>
    <row r="299" spans="1:6" ht="15.75" customHeight="1" x14ac:dyDescent="0.25">
      <c r="A299" s="6"/>
      <c r="B299" s="6"/>
      <c r="C299" s="6"/>
      <c r="D299" s="6"/>
      <c r="E299" s="6"/>
      <c r="F299" s="6"/>
    </row>
    <row r="300" spans="1:6" ht="15.75" customHeight="1" x14ac:dyDescent="0.25">
      <c r="A300" s="6"/>
      <c r="B300" s="6"/>
      <c r="C300" s="6"/>
      <c r="D300" s="6"/>
      <c r="E300" s="6"/>
      <c r="F300" s="6"/>
    </row>
    <row r="301" spans="1:6" ht="15.75" customHeight="1" x14ac:dyDescent="0.25">
      <c r="A301" s="6"/>
      <c r="B301" s="6"/>
      <c r="C301" s="6"/>
      <c r="D301" s="6"/>
      <c r="E301" s="6"/>
      <c r="F301" s="6"/>
    </row>
    <row r="302" spans="1:6" ht="15.75" customHeight="1" x14ac:dyDescent="0.25">
      <c r="A302" s="6"/>
      <c r="B302" s="6"/>
      <c r="C302" s="6"/>
      <c r="D302" s="6"/>
      <c r="E302" s="6"/>
      <c r="F302" s="6"/>
    </row>
    <row r="303" spans="1:6" ht="15.75" customHeight="1" x14ac:dyDescent="0.25">
      <c r="A303" s="6"/>
      <c r="B303" s="6"/>
      <c r="C303" s="6"/>
      <c r="D303" s="6"/>
      <c r="E303" s="6"/>
      <c r="F303" s="6"/>
    </row>
    <row r="304" spans="1:6" ht="15.75" customHeight="1" x14ac:dyDescent="0.25">
      <c r="A304" s="6"/>
      <c r="B304" s="6"/>
      <c r="C304" s="6"/>
      <c r="D304" s="6"/>
      <c r="E304" s="6"/>
      <c r="F304" s="6"/>
    </row>
    <row r="305" spans="1:6" ht="15.75" customHeight="1" x14ac:dyDescent="0.25">
      <c r="A305" s="6"/>
      <c r="B305" s="6"/>
      <c r="C305" s="6"/>
      <c r="D305" s="6"/>
      <c r="E305" s="6"/>
      <c r="F305" s="6"/>
    </row>
    <row r="306" spans="1:6" ht="15.75" customHeight="1" x14ac:dyDescent="0.25">
      <c r="A306" s="6"/>
      <c r="B306" s="6"/>
      <c r="C306" s="6"/>
      <c r="D306" s="6"/>
      <c r="E306" s="6"/>
      <c r="F306" s="6"/>
    </row>
    <row r="307" spans="1:6" ht="15.75" customHeight="1" x14ac:dyDescent="0.25">
      <c r="A307" s="6"/>
      <c r="B307" s="6"/>
      <c r="C307" s="6"/>
      <c r="D307" s="6"/>
      <c r="E307" s="6"/>
      <c r="F307" s="6"/>
    </row>
    <row r="308" spans="1:6" ht="15.75" customHeight="1" x14ac:dyDescent="0.25">
      <c r="A308" s="6"/>
      <c r="B308" s="6"/>
      <c r="C308" s="6"/>
      <c r="D308" s="6"/>
      <c r="E308" s="6"/>
      <c r="F308" s="6"/>
    </row>
    <row r="309" spans="1:6" ht="15.75" customHeight="1" x14ac:dyDescent="0.25">
      <c r="A309" s="6"/>
      <c r="B309" s="6"/>
      <c r="C309" s="6"/>
      <c r="D309" s="6"/>
      <c r="E309" s="6"/>
      <c r="F309" s="6"/>
    </row>
    <row r="310" spans="1:6" ht="15.75" customHeight="1" x14ac:dyDescent="0.25">
      <c r="A310" s="6"/>
      <c r="B310" s="6"/>
      <c r="C310" s="6"/>
      <c r="D310" s="6"/>
      <c r="E310" s="6"/>
      <c r="F310" s="6"/>
    </row>
    <row r="311" spans="1:6" ht="15.75" customHeight="1" x14ac:dyDescent="0.25">
      <c r="A311" s="6"/>
      <c r="B311" s="6"/>
      <c r="C311" s="6"/>
      <c r="D311" s="6"/>
      <c r="E311" s="6"/>
      <c r="F311" s="6"/>
    </row>
    <row r="312" spans="1:6" ht="15.75" customHeight="1" x14ac:dyDescent="0.25">
      <c r="A312" s="6"/>
      <c r="B312" s="6"/>
      <c r="C312" s="6"/>
      <c r="D312" s="6"/>
      <c r="E312" s="6"/>
      <c r="F312" s="6"/>
    </row>
    <row r="313" spans="1:6" ht="15.75" customHeight="1" x14ac:dyDescent="0.25">
      <c r="A313" s="6"/>
      <c r="B313" s="6"/>
      <c r="C313" s="6"/>
      <c r="D313" s="6"/>
      <c r="E313" s="6"/>
      <c r="F313" s="6"/>
    </row>
    <row r="314" spans="1:6" ht="15.75" customHeight="1" x14ac:dyDescent="0.25">
      <c r="A314" s="6"/>
      <c r="B314" s="6"/>
      <c r="C314" s="6"/>
      <c r="D314" s="6"/>
      <c r="E314" s="6"/>
      <c r="F314" s="6"/>
    </row>
    <row r="315" spans="1:6" ht="15.75" customHeight="1" x14ac:dyDescent="0.25">
      <c r="A315" s="6"/>
      <c r="B315" s="6"/>
      <c r="C315" s="6"/>
      <c r="D315" s="6"/>
      <c r="E315" s="6"/>
      <c r="F315" s="6"/>
    </row>
    <row r="316" spans="1:6" ht="15.75" customHeight="1" x14ac:dyDescent="0.25">
      <c r="A316" s="6"/>
      <c r="B316" s="6"/>
      <c r="C316" s="6"/>
      <c r="D316" s="6"/>
      <c r="E316" s="6"/>
      <c r="F316" s="6"/>
    </row>
    <row r="317" spans="1:6" ht="15.75" customHeight="1" x14ac:dyDescent="0.25">
      <c r="A317" s="6"/>
      <c r="B317" s="6"/>
      <c r="C317" s="6"/>
      <c r="D317" s="6"/>
      <c r="E317" s="6"/>
      <c r="F317" s="6"/>
    </row>
    <row r="318" spans="1:6" ht="15.75" customHeight="1" x14ac:dyDescent="0.25">
      <c r="A318" s="6"/>
      <c r="B318" s="6"/>
      <c r="C318" s="6"/>
      <c r="D318" s="6"/>
      <c r="E318" s="6"/>
      <c r="F318" s="6"/>
    </row>
    <row r="319" spans="1:6" ht="15.75" customHeight="1" x14ac:dyDescent="0.25">
      <c r="A319" s="6"/>
      <c r="B319" s="6"/>
      <c r="C319" s="6"/>
      <c r="D319" s="6"/>
      <c r="E319" s="6"/>
      <c r="F319" s="6"/>
    </row>
    <row r="320" spans="1:6" ht="15.75" customHeight="1" x14ac:dyDescent="0.25">
      <c r="A320" s="6"/>
      <c r="B320" s="6"/>
      <c r="C320" s="6"/>
      <c r="D320" s="6"/>
      <c r="E320" s="6"/>
      <c r="F320" s="6"/>
    </row>
    <row r="321" spans="1:6" ht="15.75" customHeight="1" x14ac:dyDescent="0.25">
      <c r="A321" s="6"/>
      <c r="B321" s="6"/>
      <c r="C321" s="6"/>
      <c r="D321" s="6"/>
      <c r="E321" s="6"/>
      <c r="F321" s="6"/>
    </row>
    <row r="322" spans="1:6" ht="15.75" customHeight="1" x14ac:dyDescent="0.25">
      <c r="A322" s="6"/>
      <c r="B322" s="6"/>
      <c r="C322" s="6"/>
      <c r="D322" s="6"/>
      <c r="E322" s="6"/>
      <c r="F322" s="6"/>
    </row>
    <row r="323" spans="1:6" ht="15.75" customHeight="1" x14ac:dyDescent="0.25">
      <c r="A323" s="6"/>
      <c r="B323" s="6"/>
      <c r="C323" s="6"/>
      <c r="D323" s="6"/>
      <c r="E323" s="6"/>
      <c r="F323" s="6"/>
    </row>
    <row r="324" spans="1:6" ht="15.75" customHeight="1" x14ac:dyDescent="0.25">
      <c r="A324" s="6"/>
      <c r="B324" s="6"/>
      <c r="C324" s="6"/>
      <c r="D324" s="6"/>
      <c r="E324" s="6"/>
      <c r="F324" s="6"/>
    </row>
    <row r="325" spans="1:6" ht="15.75" customHeight="1" x14ac:dyDescent="0.25">
      <c r="A325" s="6"/>
      <c r="B325" s="6"/>
      <c r="C325" s="6"/>
      <c r="D325" s="6"/>
      <c r="E325" s="6"/>
      <c r="F325" s="6"/>
    </row>
    <row r="326" spans="1:6" ht="15.75" customHeight="1" x14ac:dyDescent="0.25">
      <c r="A326" s="6"/>
      <c r="B326" s="6"/>
      <c r="C326" s="6"/>
      <c r="D326" s="6"/>
      <c r="E326" s="6"/>
      <c r="F326" s="6"/>
    </row>
    <row r="327" spans="1:6" ht="15.75" customHeight="1" x14ac:dyDescent="0.25">
      <c r="A327" s="6"/>
      <c r="B327" s="6"/>
      <c r="C327" s="6"/>
      <c r="D327" s="6"/>
      <c r="E327" s="6"/>
      <c r="F327" s="6"/>
    </row>
    <row r="328" spans="1:6" ht="15.75" customHeight="1" x14ac:dyDescent="0.25">
      <c r="A328" s="6"/>
      <c r="B328" s="6"/>
      <c r="C328" s="6"/>
      <c r="D328" s="6"/>
      <c r="E328" s="6"/>
      <c r="F328" s="6"/>
    </row>
    <row r="329" spans="1:6" ht="15.75" customHeight="1" x14ac:dyDescent="0.25">
      <c r="A329" s="6"/>
      <c r="B329" s="6"/>
      <c r="C329" s="6"/>
      <c r="D329" s="6"/>
      <c r="E329" s="6"/>
      <c r="F329" s="6"/>
    </row>
    <row r="330" spans="1:6" ht="15.75" customHeight="1" x14ac:dyDescent="0.25">
      <c r="A330" s="6"/>
      <c r="B330" s="6"/>
      <c r="C330" s="6"/>
      <c r="D330" s="6"/>
      <c r="E330" s="6"/>
      <c r="F330" s="6"/>
    </row>
    <row r="331" spans="1:6" ht="15.75" customHeight="1" x14ac:dyDescent="0.25">
      <c r="A331" s="6"/>
      <c r="B331" s="6"/>
      <c r="C331" s="6"/>
      <c r="D331" s="6"/>
      <c r="E331" s="6"/>
      <c r="F331" s="6"/>
    </row>
    <row r="332" spans="1:6" ht="15.75" customHeight="1" x14ac:dyDescent="0.25">
      <c r="A332" s="6"/>
      <c r="B332" s="6"/>
      <c r="C332" s="6"/>
      <c r="D332" s="6"/>
      <c r="E332" s="6"/>
      <c r="F332" s="6"/>
    </row>
    <row r="333" spans="1:6" ht="15.75" customHeight="1" x14ac:dyDescent="0.25">
      <c r="A333" s="6"/>
      <c r="B333" s="6"/>
      <c r="C333" s="6"/>
      <c r="D333" s="6"/>
      <c r="E333" s="6"/>
      <c r="F333" s="6"/>
    </row>
    <row r="334" spans="1:6" ht="15.75" customHeight="1" x14ac:dyDescent="0.25">
      <c r="A334" s="6"/>
      <c r="B334" s="6"/>
      <c r="C334" s="6"/>
      <c r="D334" s="6"/>
      <c r="E334" s="6"/>
      <c r="F334" s="6"/>
    </row>
    <row r="335" spans="1:6" ht="15.75" customHeight="1" x14ac:dyDescent="0.25">
      <c r="A335" s="6"/>
      <c r="B335" s="6"/>
      <c r="C335" s="6"/>
      <c r="D335" s="6"/>
      <c r="E335" s="6"/>
      <c r="F335" s="6"/>
    </row>
    <row r="336" spans="1:6" ht="15.75" customHeight="1" x14ac:dyDescent="0.25">
      <c r="A336" s="6"/>
      <c r="B336" s="6"/>
      <c r="C336" s="6"/>
      <c r="D336" s="6"/>
      <c r="E336" s="6"/>
      <c r="F336" s="6"/>
    </row>
    <row r="337" spans="1:6" ht="15.75" customHeight="1" x14ac:dyDescent="0.25">
      <c r="A337" s="6"/>
      <c r="B337" s="6"/>
      <c r="C337" s="6"/>
      <c r="D337" s="6"/>
      <c r="E337" s="6"/>
      <c r="F337" s="6"/>
    </row>
    <row r="338" spans="1:6" ht="15.75" customHeight="1" x14ac:dyDescent="0.25">
      <c r="A338" s="6"/>
      <c r="B338" s="6"/>
      <c r="C338" s="6"/>
      <c r="D338" s="6"/>
      <c r="E338" s="6"/>
      <c r="F338" s="6"/>
    </row>
    <row r="339" spans="1:6" ht="15.75" customHeight="1" x14ac:dyDescent="0.25">
      <c r="A339" s="6"/>
      <c r="B339" s="6"/>
      <c r="C339" s="6"/>
      <c r="D339" s="6"/>
      <c r="E339" s="6"/>
      <c r="F339" s="6"/>
    </row>
    <row r="340" spans="1:6" ht="15.75" customHeight="1" x14ac:dyDescent="0.25">
      <c r="A340" s="6"/>
      <c r="B340" s="6"/>
      <c r="C340" s="6"/>
      <c r="D340" s="6"/>
      <c r="E340" s="6"/>
      <c r="F340" s="6"/>
    </row>
    <row r="341" spans="1:6" ht="15.75" customHeight="1" x14ac:dyDescent="0.25">
      <c r="A341" s="6"/>
      <c r="B341" s="6"/>
      <c r="C341" s="6"/>
      <c r="D341" s="6"/>
      <c r="E341" s="6"/>
      <c r="F341" s="6"/>
    </row>
    <row r="342" spans="1:6" ht="15.75" customHeight="1" x14ac:dyDescent="0.25">
      <c r="A342" s="6"/>
      <c r="B342" s="6"/>
      <c r="C342" s="6"/>
      <c r="D342" s="6"/>
      <c r="E342" s="6"/>
      <c r="F342" s="6"/>
    </row>
    <row r="343" spans="1:6" ht="15.75" customHeight="1" x14ac:dyDescent="0.25">
      <c r="A343" s="6"/>
      <c r="B343" s="6"/>
      <c r="C343" s="6"/>
      <c r="D343" s="6"/>
      <c r="E343" s="6"/>
      <c r="F343" s="6"/>
    </row>
    <row r="344" spans="1:6" ht="15.75" customHeight="1" x14ac:dyDescent="0.25">
      <c r="A344" s="6"/>
      <c r="B344" s="6"/>
      <c r="C344" s="6"/>
      <c r="D344" s="6"/>
      <c r="E344" s="6"/>
      <c r="F344" s="6"/>
    </row>
    <row r="345" spans="1:6" ht="15.75" customHeight="1" x14ac:dyDescent="0.25">
      <c r="A345" s="6"/>
      <c r="B345" s="6"/>
      <c r="C345" s="6"/>
      <c r="D345" s="6"/>
      <c r="E345" s="6"/>
      <c r="F345" s="6"/>
    </row>
    <row r="346" spans="1:6" ht="15.75" customHeight="1" x14ac:dyDescent="0.25">
      <c r="A346" s="6"/>
      <c r="B346" s="6"/>
      <c r="C346" s="6"/>
      <c r="D346" s="6"/>
      <c r="E346" s="6"/>
      <c r="F346" s="6"/>
    </row>
    <row r="347" spans="1:6" ht="15.75" customHeight="1" x14ac:dyDescent="0.25">
      <c r="A347" s="6"/>
      <c r="B347" s="6"/>
      <c r="C347" s="6"/>
      <c r="D347" s="6"/>
      <c r="E347" s="6"/>
      <c r="F347" s="6"/>
    </row>
    <row r="348" spans="1:6" ht="15.75" customHeight="1" x14ac:dyDescent="0.25">
      <c r="A348" s="6"/>
      <c r="B348" s="6"/>
      <c r="C348" s="6"/>
      <c r="D348" s="6"/>
      <c r="E348" s="6"/>
      <c r="F348" s="6"/>
    </row>
    <row r="349" spans="1:6" ht="15.75" customHeight="1" x14ac:dyDescent="0.25">
      <c r="A349" s="6"/>
      <c r="B349" s="6"/>
      <c r="C349" s="6"/>
      <c r="D349" s="6"/>
      <c r="E349" s="6"/>
      <c r="F349" s="6"/>
    </row>
    <row r="350" spans="1:6" ht="15.75" customHeight="1" x14ac:dyDescent="0.25">
      <c r="A350" s="6"/>
      <c r="B350" s="6"/>
      <c r="C350" s="6"/>
      <c r="D350" s="6"/>
      <c r="E350" s="6"/>
      <c r="F350" s="6"/>
    </row>
    <row r="351" spans="1:6" ht="15.75" customHeight="1" x14ac:dyDescent="0.25">
      <c r="A351" s="6"/>
      <c r="B351" s="6"/>
      <c r="C351" s="6"/>
      <c r="D351" s="6"/>
      <c r="E351" s="6"/>
      <c r="F351" s="6"/>
    </row>
    <row r="352" spans="1:6" ht="15.75" customHeight="1" x14ac:dyDescent="0.25">
      <c r="A352" s="6"/>
      <c r="B352" s="6"/>
      <c r="C352" s="6"/>
      <c r="D352" s="6"/>
      <c r="E352" s="6"/>
      <c r="F352" s="6"/>
    </row>
    <row r="353" spans="1:6" ht="15.75" customHeight="1" x14ac:dyDescent="0.25">
      <c r="A353" s="6"/>
      <c r="B353" s="6"/>
      <c r="C353" s="6"/>
      <c r="D353" s="6"/>
      <c r="E353" s="6"/>
      <c r="F353" s="6"/>
    </row>
    <row r="354" spans="1:6" ht="15.75" customHeight="1" x14ac:dyDescent="0.25">
      <c r="A354" s="6"/>
      <c r="B354" s="6"/>
      <c r="C354" s="6"/>
      <c r="D354" s="6"/>
      <c r="E354" s="6"/>
      <c r="F354" s="6"/>
    </row>
    <row r="355" spans="1:6" ht="15.75" customHeight="1" x14ac:dyDescent="0.25">
      <c r="A355" s="6"/>
      <c r="B355" s="6"/>
      <c r="C355" s="6"/>
      <c r="D355" s="6"/>
      <c r="E355" s="6"/>
      <c r="F355" s="6"/>
    </row>
    <row r="356" spans="1:6" ht="15.75" customHeight="1" x14ac:dyDescent="0.25">
      <c r="A356" s="6"/>
      <c r="B356" s="6"/>
      <c r="C356" s="6"/>
      <c r="D356" s="6"/>
      <c r="E356" s="6"/>
      <c r="F356" s="6"/>
    </row>
    <row r="357" spans="1:6" ht="15.75" customHeight="1" x14ac:dyDescent="0.25">
      <c r="A357" s="6"/>
      <c r="B357" s="6"/>
      <c r="C357" s="6"/>
      <c r="D357" s="6"/>
      <c r="E357" s="6"/>
      <c r="F357" s="6"/>
    </row>
    <row r="358" spans="1:6" ht="15.75" customHeight="1" x14ac:dyDescent="0.25">
      <c r="A358" s="6"/>
      <c r="B358" s="6"/>
      <c r="C358" s="6"/>
      <c r="D358" s="6"/>
      <c r="E358" s="6"/>
      <c r="F358" s="6"/>
    </row>
    <row r="359" spans="1:6" ht="15.75" customHeight="1" x14ac:dyDescent="0.25">
      <c r="A359" s="6"/>
      <c r="B359" s="6"/>
      <c r="C359" s="6"/>
      <c r="D359" s="6"/>
      <c r="E359" s="6"/>
      <c r="F359" s="6"/>
    </row>
    <row r="360" spans="1:6" ht="15.75" customHeight="1" x14ac:dyDescent="0.25">
      <c r="A360" s="6"/>
      <c r="B360" s="6"/>
      <c r="C360" s="6"/>
      <c r="D360" s="6"/>
      <c r="E360" s="6"/>
      <c r="F360" s="6"/>
    </row>
    <row r="361" spans="1:6" ht="15.75" customHeight="1" x14ac:dyDescent="0.25">
      <c r="A361" s="6"/>
      <c r="B361" s="6"/>
      <c r="C361" s="6"/>
      <c r="D361" s="6"/>
      <c r="E361" s="6"/>
      <c r="F361" s="6"/>
    </row>
    <row r="362" spans="1:6" ht="15.75" customHeight="1" x14ac:dyDescent="0.25">
      <c r="A362" s="6"/>
      <c r="B362" s="6"/>
      <c r="C362" s="6"/>
      <c r="D362" s="6"/>
      <c r="E362" s="6"/>
      <c r="F362" s="6"/>
    </row>
    <row r="363" spans="1:6" ht="15.75" customHeight="1" x14ac:dyDescent="0.25">
      <c r="A363" s="6"/>
      <c r="B363" s="6"/>
      <c r="C363" s="6"/>
      <c r="D363" s="6"/>
      <c r="E363" s="6"/>
      <c r="F363" s="6"/>
    </row>
    <row r="364" spans="1:6" ht="15.75" customHeight="1" x14ac:dyDescent="0.25">
      <c r="A364" s="6"/>
      <c r="B364" s="6"/>
      <c r="C364" s="6"/>
      <c r="D364" s="6"/>
      <c r="E364" s="6"/>
      <c r="F364" s="6"/>
    </row>
    <row r="365" spans="1:6" ht="15.75" customHeight="1" x14ac:dyDescent="0.25">
      <c r="A365" s="6"/>
      <c r="B365" s="6"/>
      <c r="C365" s="6"/>
      <c r="D365" s="6"/>
      <c r="E365" s="6"/>
      <c r="F365" s="6"/>
    </row>
    <row r="366" spans="1:6" ht="15.75" customHeight="1" x14ac:dyDescent="0.25">
      <c r="A366" s="6"/>
      <c r="B366" s="6"/>
      <c r="C366" s="6"/>
      <c r="D366" s="6"/>
      <c r="E366" s="6"/>
      <c r="F366" s="6"/>
    </row>
    <row r="367" spans="1:6" ht="15.75" customHeight="1" x14ac:dyDescent="0.25">
      <c r="A367" s="6"/>
      <c r="B367" s="6"/>
      <c r="C367" s="6"/>
      <c r="D367" s="6"/>
      <c r="E367" s="6"/>
      <c r="F367" s="6"/>
    </row>
    <row r="368" spans="1:6" ht="15.75" customHeight="1" x14ac:dyDescent="0.25">
      <c r="A368" s="6"/>
      <c r="B368" s="6"/>
      <c r="C368" s="6"/>
      <c r="D368" s="6"/>
      <c r="E368" s="6"/>
      <c r="F368" s="6"/>
    </row>
    <row r="369" spans="1:6" ht="15.75" customHeight="1" x14ac:dyDescent="0.25">
      <c r="A369" s="6"/>
      <c r="B369" s="6"/>
      <c r="C369" s="6"/>
      <c r="D369" s="6"/>
      <c r="E369" s="6"/>
      <c r="F369" s="6"/>
    </row>
    <row r="370" spans="1:6" ht="15.75" customHeight="1" x14ac:dyDescent="0.25">
      <c r="A370" s="6"/>
      <c r="B370" s="6"/>
      <c r="C370" s="6"/>
      <c r="D370" s="6"/>
      <c r="E370" s="6"/>
      <c r="F370" s="6"/>
    </row>
    <row r="371" spans="1:6" ht="15.75" customHeight="1" x14ac:dyDescent="0.25">
      <c r="A371" s="6"/>
      <c r="B371" s="6"/>
      <c r="C371" s="6"/>
      <c r="D371" s="6"/>
      <c r="E371" s="6"/>
      <c r="F371" s="6"/>
    </row>
    <row r="372" spans="1:6" ht="15.75" customHeight="1" x14ac:dyDescent="0.25">
      <c r="A372" s="6"/>
      <c r="B372" s="6"/>
      <c r="C372" s="6"/>
      <c r="D372" s="6"/>
      <c r="E372" s="6"/>
      <c r="F372" s="6"/>
    </row>
    <row r="373" spans="1:6" ht="15.75" customHeight="1" x14ac:dyDescent="0.25">
      <c r="A373" s="6"/>
      <c r="B373" s="6"/>
      <c r="C373" s="6"/>
      <c r="D373" s="6"/>
      <c r="E373" s="6"/>
      <c r="F373" s="6"/>
    </row>
    <row r="374" spans="1:6" ht="15.75" customHeight="1" x14ac:dyDescent="0.25">
      <c r="A374" s="6"/>
      <c r="B374" s="6"/>
      <c r="C374" s="6"/>
      <c r="D374" s="6"/>
      <c r="E374" s="6"/>
      <c r="F374" s="6"/>
    </row>
    <row r="375" spans="1:6" ht="15.75" customHeight="1" x14ac:dyDescent="0.25">
      <c r="A375" s="6"/>
      <c r="B375" s="6"/>
      <c r="C375" s="6"/>
      <c r="D375" s="6"/>
      <c r="E375" s="6"/>
      <c r="F375" s="6"/>
    </row>
    <row r="376" spans="1:6" ht="15.75" customHeight="1" x14ac:dyDescent="0.25">
      <c r="A376" s="6"/>
      <c r="B376" s="6"/>
      <c r="C376" s="6"/>
      <c r="D376" s="6"/>
      <c r="E376" s="6"/>
      <c r="F376" s="6"/>
    </row>
    <row r="377" spans="1:6" ht="15.75" customHeight="1" x14ac:dyDescent="0.25">
      <c r="A377" s="6"/>
      <c r="B377" s="6"/>
      <c r="C377" s="6"/>
      <c r="D377" s="6"/>
      <c r="E377" s="6"/>
      <c r="F377" s="6"/>
    </row>
    <row r="378" spans="1:6" ht="15.75" customHeight="1" x14ac:dyDescent="0.25">
      <c r="A378" s="6"/>
      <c r="B378" s="6"/>
      <c r="C378" s="6"/>
      <c r="D378" s="6"/>
      <c r="E378" s="6"/>
      <c r="F378" s="6"/>
    </row>
    <row r="379" spans="1:6" ht="15.75" customHeight="1" x14ac:dyDescent="0.25">
      <c r="A379" s="6"/>
      <c r="B379" s="6"/>
      <c r="C379" s="6"/>
      <c r="D379" s="6"/>
      <c r="E379" s="6"/>
      <c r="F379" s="6"/>
    </row>
    <row r="380" spans="1:6" ht="15.75" customHeight="1" x14ac:dyDescent="0.25">
      <c r="A380" s="6"/>
      <c r="B380" s="6"/>
      <c r="C380" s="6"/>
      <c r="D380" s="6"/>
      <c r="E380" s="6"/>
      <c r="F380" s="6"/>
    </row>
    <row r="381" spans="1:6" ht="15.75" customHeight="1" x14ac:dyDescent="0.25">
      <c r="A381" s="6"/>
      <c r="B381" s="6"/>
      <c r="C381" s="6"/>
      <c r="D381" s="6"/>
      <c r="E381" s="6"/>
      <c r="F381" s="6"/>
    </row>
    <row r="382" spans="1:6" ht="15.75" customHeight="1" x14ac:dyDescent="0.25">
      <c r="A382" s="6"/>
      <c r="B382" s="6"/>
      <c r="C382" s="6"/>
      <c r="D382" s="6"/>
      <c r="E382" s="6"/>
      <c r="F382" s="6"/>
    </row>
    <row r="383" spans="1:6" ht="15.75" customHeight="1" x14ac:dyDescent="0.25">
      <c r="A383" s="6"/>
      <c r="B383" s="6"/>
      <c r="C383" s="6"/>
      <c r="D383" s="6"/>
      <c r="E383" s="6"/>
      <c r="F383" s="6"/>
    </row>
    <row r="384" spans="1:6" ht="15.75" customHeight="1" x14ac:dyDescent="0.25">
      <c r="A384" s="6"/>
      <c r="B384" s="6"/>
      <c r="C384" s="6"/>
      <c r="D384" s="6"/>
      <c r="E384" s="6"/>
      <c r="F384" s="6"/>
    </row>
    <row r="385" spans="1:6" ht="15.75" customHeight="1" x14ac:dyDescent="0.25">
      <c r="A385" s="6"/>
      <c r="B385" s="6"/>
      <c r="C385" s="6"/>
      <c r="D385" s="6"/>
      <c r="E385" s="6"/>
      <c r="F385" s="6"/>
    </row>
    <row r="386" spans="1:6" ht="15.75" customHeight="1" x14ac:dyDescent="0.25">
      <c r="A386" s="6"/>
      <c r="B386" s="6"/>
      <c r="C386" s="6"/>
      <c r="D386" s="6"/>
      <c r="E386" s="6"/>
      <c r="F386" s="6"/>
    </row>
    <row r="387" spans="1:6" ht="15.75" customHeight="1" x14ac:dyDescent="0.25">
      <c r="A387" s="6"/>
      <c r="B387" s="6"/>
      <c r="C387" s="6"/>
      <c r="D387" s="6"/>
      <c r="E387" s="6"/>
      <c r="F387" s="6"/>
    </row>
    <row r="388" spans="1:6" ht="15.75" customHeight="1" x14ac:dyDescent="0.25">
      <c r="A388" s="6"/>
      <c r="B388" s="6"/>
      <c r="C388" s="6"/>
      <c r="D388" s="6"/>
      <c r="E388" s="6"/>
      <c r="F388" s="6"/>
    </row>
    <row r="389" spans="1:6" ht="15.75" customHeight="1" x14ac:dyDescent="0.25">
      <c r="A389" s="6"/>
      <c r="B389" s="6"/>
      <c r="C389" s="6"/>
      <c r="D389" s="6"/>
      <c r="E389" s="6"/>
      <c r="F389" s="6"/>
    </row>
    <row r="390" spans="1:6" ht="15.75" customHeight="1" x14ac:dyDescent="0.25">
      <c r="A390" s="6"/>
      <c r="B390" s="6"/>
      <c r="C390" s="6"/>
      <c r="D390" s="6"/>
      <c r="E390" s="6"/>
      <c r="F390" s="6"/>
    </row>
    <row r="391" spans="1:6" ht="15.75" customHeight="1" x14ac:dyDescent="0.25">
      <c r="A391" s="6"/>
      <c r="B391" s="6"/>
      <c r="C391" s="6"/>
      <c r="D391" s="6"/>
      <c r="E391" s="6"/>
      <c r="F391" s="6"/>
    </row>
    <row r="392" spans="1:6" ht="15.75" customHeight="1" x14ac:dyDescent="0.25">
      <c r="A392" s="6"/>
      <c r="B392" s="6"/>
      <c r="C392" s="6"/>
      <c r="D392" s="6"/>
      <c r="E392" s="6"/>
      <c r="F392" s="6"/>
    </row>
    <row r="393" spans="1:6" ht="15.75" customHeight="1" x14ac:dyDescent="0.25">
      <c r="A393" s="6"/>
      <c r="B393" s="6"/>
      <c r="C393" s="6"/>
      <c r="D393" s="6"/>
      <c r="E393" s="6"/>
      <c r="F393" s="6"/>
    </row>
    <row r="394" spans="1:6" ht="15.75" customHeight="1" x14ac:dyDescent="0.25">
      <c r="A394" s="6"/>
      <c r="B394" s="6"/>
      <c r="C394" s="6"/>
      <c r="D394" s="6"/>
      <c r="E394" s="6"/>
      <c r="F394" s="6"/>
    </row>
    <row r="395" spans="1:6" ht="15.75" customHeight="1" x14ac:dyDescent="0.25">
      <c r="A395" s="6"/>
      <c r="B395" s="6"/>
      <c r="C395" s="6"/>
      <c r="D395" s="6"/>
      <c r="E395" s="6"/>
      <c r="F395" s="6"/>
    </row>
    <row r="396" spans="1:6" ht="15.75" customHeight="1" x14ac:dyDescent="0.25">
      <c r="A396" s="6"/>
      <c r="B396" s="6"/>
      <c r="C396" s="6"/>
      <c r="D396" s="6"/>
      <c r="E396" s="6"/>
      <c r="F396" s="6"/>
    </row>
    <row r="397" spans="1:6" ht="15.75" customHeight="1" x14ac:dyDescent="0.25">
      <c r="A397" s="6"/>
      <c r="B397" s="6"/>
      <c r="C397" s="6"/>
      <c r="D397" s="6"/>
      <c r="E397" s="6"/>
      <c r="F397" s="6"/>
    </row>
    <row r="398" spans="1:6" ht="15.75" customHeight="1" x14ac:dyDescent="0.25">
      <c r="A398" s="6"/>
      <c r="B398" s="6"/>
      <c r="C398" s="6"/>
      <c r="D398" s="6"/>
      <c r="E398" s="6"/>
      <c r="F398" s="6"/>
    </row>
    <row r="399" spans="1:6" ht="15.75" customHeight="1" x14ac:dyDescent="0.25">
      <c r="A399" s="6"/>
      <c r="B399" s="6"/>
      <c r="C399" s="6"/>
      <c r="D399" s="6"/>
      <c r="E399" s="6"/>
      <c r="F399" s="6"/>
    </row>
    <row r="400" spans="1:6" ht="15.75" customHeight="1" x14ac:dyDescent="0.25">
      <c r="A400" s="6"/>
      <c r="B400" s="6"/>
      <c r="C400" s="6"/>
      <c r="D400" s="6"/>
      <c r="E400" s="6"/>
      <c r="F400" s="6"/>
    </row>
    <row r="401" spans="1:6" ht="15.75" customHeight="1" x14ac:dyDescent="0.25">
      <c r="A401" s="6"/>
      <c r="B401" s="6"/>
      <c r="C401" s="6"/>
      <c r="D401" s="6"/>
      <c r="E401" s="6"/>
      <c r="F401" s="6"/>
    </row>
    <row r="402" spans="1:6" ht="15.75" customHeight="1" x14ac:dyDescent="0.25">
      <c r="A402" s="6"/>
      <c r="B402" s="6"/>
      <c r="C402" s="6"/>
      <c r="D402" s="6"/>
      <c r="E402" s="6"/>
      <c r="F402" s="6"/>
    </row>
    <row r="403" spans="1:6" ht="15.75" customHeight="1" x14ac:dyDescent="0.25">
      <c r="A403" s="6"/>
      <c r="B403" s="6"/>
      <c r="C403" s="6"/>
      <c r="D403" s="6"/>
      <c r="E403" s="6"/>
      <c r="F403" s="6"/>
    </row>
    <row r="404" spans="1:6" ht="15.75" customHeight="1" x14ac:dyDescent="0.25">
      <c r="A404" s="6"/>
      <c r="B404" s="6"/>
      <c r="C404" s="6"/>
      <c r="D404" s="6"/>
      <c r="E404" s="6"/>
      <c r="F404" s="6"/>
    </row>
    <row r="405" spans="1:6" ht="15.75" customHeight="1" x14ac:dyDescent="0.25">
      <c r="A405" s="6"/>
      <c r="B405" s="6"/>
      <c r="C405" s="6"/>
      <c r="D405" s="6"/>
      <c r="E405" s="6"/>
      <c r="F405" s="6"/>
    </row>
    <row r="406" spans="1:6" ht="15.75" customHeight="1" x14ac:dyDescent="0.25">
      <c r="A406" s="6"/>
      <c r="B406" s="6"/>
      <c r="C406" s="6"/>
      <c r="D406" s="6"/>
      <c r="E406" s="6"/>
      <c r="F406" s="6"/>
    </row>
    <row r="407" spans="1:6" ht="15.75" customHeight="1" x14ac:dyDescent="0.25">
      <c r="A407" s="6"/>
      <c r="B407" s="6"/>
      <c r="C407" s="6"/>
      <c r="D407" s="6"/>
      <c r="E407" s="6"/>
      <c r="F407" s="6"/>
    </row>
    <row r="408" spans="1:6" ht="15.75" customHeight="1" x14ac:dyDescent="0.25">
      <c r="A408" s="6"/>
      <c r="B408" s="6"/>
      <c r="C408" s="6"/>
      <c r="D408" s="6"/>
      <c r="E408" s="6"/>
      <c r="F408" s="6"/>
    </row>
    <row r="409" spans="1:6" ht="15.75" customHeight="1" x14ac:dyDescent="0.25">
      <c r="A409" s="6"/>
      <c r="B409" s="6"/>
      <c r="C409" s="6"/>
      <c r="D409" s="6"/>
      <c r="E409" s="6"/>
      <c r="F409" s="6"/>
    </row>
    <row r="410" spans="1:6" ht="15.75" customHeight="1" x14ac:dyDescent="0.25">
      <c r="A410" s="6"/>
      <c r="B410" s="6"/>
      <c r="C410" s="6"/>
      <c r="D410" s="6"/>
      <c r="E410" s="6"/>
      <c r="F410" s="6"/>
    </row>
    <row r="411" spans="1:6" ht="15.75" customHeight="1" x14ac:dyDescent="0.25">
      <c r="A411" s="6"/>
      <c r="B411" s="6"/>
      <c r="C411" s="6"/>
      <c r="D411" s="6"/>
      <c r="E411" s="6"/>
      <c r="F411" s="6"/>
    </row>
    <row r="412" spans="1:6" ht="15.75" customHeight="1" x14ac:dyDescent="0.25">
      <c r="A412" s="6"/>
      <c r="B412" s="6"/>
      <c r="C412" s="6"/>
      <c r="D412" s="6"/>
      <c r="E412" s="6"/>
      <c r="F412" s="6"/>
    </row>
    <row r="413" spans="1:6" ht="15.75" customHeight="1" x14ac:dyDescent="0.25">
      <c r="A413" s="6"/>
      <c r="B413" s="6"/>
      <c r="C413" s="6"/>
      <c r="D413" s="6"/>
      <c r="E413" s="6"/>
      <c r="F413" s="6"/>
    </row>
    <row r="414" spans="1:6" ht="15.75" customHeight="1" x14ac:dyDescent="0.25">
      <c r="A414" s="6"/>
      <c r="B414" s="6"/>
      <c r="C414" s="6"/>
      <c r="D414" s="6"/>
      <c r="E414" s="6"/>
      <c r="F414" s="6"/>
    </row>
    <row r="415" spans="1:6" ht="15.75" customHeight="1" x14ac:dyDescent="0.25">
      <c r="A415" s="6"/>
      <c r="B415" s="6"/>
      <c r="C415" s="6"/>
      <c r="D415" s="6"/>
      <c r="E415" s="6"/>
      <c r="F415" s="6"/>
    </row>
    <row r="416" spans="1:6" ht="15.75" customHeight="1" x14ac:dyDescent="0.25">
      <c r="A416" s="6"/>
      <c r="B416" s="6"/>
      <c r="C416" s="6"/>
      <c r="D416" s="6"/>
      <c r="E416" s="6"/>
      <c r="F416" s="6"/>
    </row>
    <row r="417" spans="1:6" ht="15.75" customHeight="1" x14ac:dyDescent="0.25">
      <c r="A417" s="6"/>
      <c r="B417" s="6"/>
      <c r="C417" s="6"/>
      <c r="D417" s="6"/>
      <c r="E417" s="6"/>
      <c r="F417" s="6"/>
    </row>
    <row r="418" spans="1:6" ht="15.75" customHeight="1" x14ac:dyDescent="0.25">
      <c r="A418" s="6"/>
      <c r="B418" s="6"/>
      <c r="C418" s="6"/>
      <c r="D418" s="6"/>
      <c r="E418" s="6"/>
      <c r="F418" s="6"/>
    </row>
    <row r="419" spans="1:6" ht="15.75" customHeight="1" x14ac:dyDescent="0.25">
      <c r="A419" s="6"/>
      <c r="B419" s="6"/>
      <c r="C419" s="6"/>
      <c r="D419" s="6"/>
      <c r="E419" s="6"/>
      <c r="F419" s="6"/>
    </row>
    <row r="420" spans="1:6" ht="15.75" customHeight="1" x14ac:dyDescent="0.25">
      <c r="A420" s="6"/>
      <c r="B420" s="6"/>
      <c r="C420" s="6"/>
      <c r="D420" s="6"/>
      <c r="E420" s="6"/>
      <c r="F420" s="6"/>
    </row>
    <row r="421" spans="1:6" ht="15.75" customHeight="1" x14ac:dyDescent="0.25">
      <c r="A421" s="6"/>
      <c r="B421" s="6"/>
      <c r="C421" s="6"/>
      <c r="D421" s="6"/>
      <c r="E421" s="6"/>
      <c r="F421" s="6"/>
    </row>
    <row r="422" spans="1:6" ht="15.75" customHeight="1" x14ac:dyDescent="0.25">
      <c r="A422" s="6"/>
      <c r="B422" s="6"/>
      <c r="C422" s="6"/>
      <c r="D422" s="6"/>
      <c r="E422" s="6"/>
      <c r="F422" s="6"/>
    </row>
    <row r="423" spans="1:6" ht="15.75" customHeight="1" x14ac:dyDescent="0.25">
      <c r="A423" s="6"/>
      <c r="B423" s="6"/>
      <c r="C423" s="6"/>
      <c r="D423" s="6"/>
      <c r="E423" s="6"/>
      <c r="F423" s="6"/>
    </row>
    <row r="424" spans="1:6" ht="15.75" customHeight="1" x14ac:dyDescent="0.25">
      <c r="A424" s="6"/>
      <c r="B424" s="6"/>
      <c r="C424" s="6"/>
      <c r="D424" s="6"/>
      <c r="E424" s="6"/>
      <c r="F424" s="6"/>
    </row>
    <row r="425" spans="1:6" ht="15.75" customHeight="1" x14ac:dyDescent="0.25">
      <c r="A425" s="6"/>
      <c r="B425" s="6"/>
      <c r="C425" s="6"/>
      <c r="D425" s="6"/>
      <c r="E425" s="6"/>
      <c r="F425" s="6"/>
    </row>
    <row r="426" spans="1:6" ht="15.75" customHeight="1" x14ac:dyDescent="0.25">
      <c r="A426" s="6"/>
      <c r="B426" s="6"/>
      <c r="C426" s="6"/>
      <c r="D426" s="6"/>
      <c r="E426" s="6"/>
      <c r="F426" s="6"/>
    </row>
    <row r="427" spans="1:6" ht="15.75" customHeight="1" x14ac:dyDescent="0.25">
      <c r="A427" s="6"/>
      <c r="B427" s="6"/>
      <c r="C427" s="6"/>
      <c r="D427" s="6"/>
      <c r="E427" s="6"/>
      <c r="F427" s="6"/>
    </row>
    <row r="428" spans="1:6" ht="15.75" customHeight="1" x14ac:dyDescent="0.25">
      <c r="A428" s="6"/>
      <c r="B428" s="6"/>
      <c r="C428" s="6"/>
      <c r="D428" s="6"/>
      <c r="E428" s="6"/>
      <c r="F428" s="6"/>
    </row>
    <row r="429" spans="1:6" ht="15.75" customHeight="1" x14ac:dyDescent="0.25">
      <c r="A429" s="6"/>
      <c r="B429" s="6"/>
      <c r="C429" s="6"/>
      <c r="D429" s="6"/>
      <c r="E429" s="6"/>
      <c r="F429" s="6"/>
    </row>
    <row r="430" spans="1:6" ht="15.75" customHeight="1" x14ac:dyDescent="0.25">
      <c r="A430" s="6"/>
      <c r="B430" s="6"/>
      <c r="C430" s="6"/>
      <c r="D430" s="6"/>
      <c r="E430" s="6"/>
      <c r="F430" s="6"/>
    </row>
    <row r="431" spans="1:6" ht="15.75" customHeight="1" x14ac:dyDescent="0.25">
      <c r="A431" s="6"/>
      <c r="B431" s="6"/>
      <c r="C431" s="6"/>
      <c r="D431" s="6"/>
      <c r="E431" s="6"/>
      <c r="F431" s="6"/>
    </row>
    <row r="432" spans="1:6" ht="15.75" customHeight="1" x14ac:dyDescent="0.25">
      <c r="A432" s="6"/>
      <c r="B432" s="6"/>
      <c r="C432" s="6"/>
      <c r="D432" s="6"/>
      <c r="E432" s="6"/>
      <c r="F432" s="6"/>
    </row>
    <row r="433" spans="1:6" ht="15.75" customHeight="1" x14ac:dyDescent="0.25">
      <c r="A433" s="6"/>
      <c r="B433" s="6"/>
      <c r="C433" s="6"/>
      <c r="D433" s="6"/>
      <c r="E433" s="6"/>
      <c r="F433" s="6"/>
    </row>
    <row r="434" spans="1:6" ht="15.75" customHeight="1" x14ac:dyDescent="0.25">
      <c r="A434" s="6"/>
      <c r="B434" s="6"/>
      <c r="C434" s="6"/>
      <c r="D434" s="6"/>
      <c r="E434" s="6"/>
      <c r="F434" s="6"/>
    </row>
    <row r="435" spans="1:6" ht="15.75" customHeight="1" x14ac:dyDescent="0.25">
      <c r="A435" s="6"/>
      <c r="B435" s="6"/>
      <c r="C435" s="6"/>
      <c r="D435" s="6"/>
      <c r="E435" s="6"/>
      <c r="F435" s="6"/>
    </row>
    <row r="436" spans="1:6" ht="15.75" customHeight="1" x14ac:dyDescent="0.25">
      <c r="A436" s="6"/>
      <c r="B436" s="6"/>
      <c r="C436" s="6"/>
      <c r="D436" s="6"/>
      <c r="E436" s="6"/>
      <c r="F436" s="6"/>
    </row>
    <row r="437" spans="1:6" ht="15.75" customHeight="1" x14ac:dyDescent="0.25">
      <c r="A437" s="6"/>
      <c r="B437" s="6"/>
      <c r="C437" s="6"/>
      <c r="D437" s="6"/>
      <c r="E437" s="6"/>
      <c r="F437" s="6"/>
    </row>
    <row r="438" spans="1:6" ht="15.75" customHeight="1" x14ac:dyDescent="0.25">
      <c r="A438" s="6"/>
      <c r="B438" s="6"/>
      <c r="C438" s="6"/>
      <c r="D438" s="6"/>
      <c r="E438" s="6"/>
      <c r="F438" s="6"/>
    </row>
    <row r="439" spans="1:6" ht="15.75" customHeight="1" x14ac:dyDescent="0.25">
      <c r="A439" s="6"/>
      <c r="B439" s="6"/>
      <c r="C439" s="6"/>
      <c r="D439" s="6"/>
      <c r="E439" s="6"/>
      <c r="F439" s="6"/>
    </row>
    <row r="440" spans="1:6" ht="15.75" customHeight="1" x14ac:dyDescent="0.25">
      <c r="A440" s="6"/>
      <c r="B440" s="6"/>
      <c r="C440" s="6"/>
      <c r="D440" s="6"/>
      <c r="E440" s="6"/>
      <c r="F440" s="6"/>
    </row>
    <row r="441" spans="1:6" ht="15.75" customHeight="1" x14ac:dyDescent="0.25">
      <c r="A441" s="6"/>
      <c r="B441" s="6"/>
      <c r="C441" s="6"/>
      <c r="D441" s="6"/>
      <c r="E441" s="6"/>
      <c r="F441" s="6"/>
    </row>
    <row r="442" spans="1:6" ht="15.75" customHeight="1" x14ac:dyDescent="0.25">
      <c r="A442" s="6"/>
      <c r="B442" s="6"/>
      <c r="C442" s="6"/>
      <c r="D442" s="6"/>
      <c r="E442" s="6"/>
      <c r="F442" s="6"/>
    </row>
    <row r="443" spans="1:6" ht="15.75" customHeight="1" x14ac:dyDescent="0.25">
      <c r="A443" s="6"/>
      <c r="B443" s="6"/>
      <c r="C443" s="6"/>
      <c r="D443" s="6"/>
      <c r="E443" s="6"/>
      <c r="F443" s="6"/>
    </row>
    <row r="444" spans="1:6" ht="15.75" customHeight="1" x14ac:dyDescent="0.25">
      <c r="A444" s="6"/>
      <c r="B444" s="6"/>
      <c r="C444" s="6"/>
      <c r="D444" s="6"/>
      <c r="E444" s="6"/>
      <c r="F444" s="6"/>
    </row>
    <row r="445" spans="1:6" ht="15.75" customHeight="1" x14ac:dyDescent="0.25">
      <c r="A445" s="6"/>
      <c r="B445" s="6"/>
      <c r="C445" s="6"/>
      <c r="D445" s="6"/>
      <c r="E445" s="6"/>
      <c r="F445" s="6"/>
    </row>
    <row r="446" spans="1:6" ht="15.75" customHeight="1" x14ac:dyDescent="0.25">
      <c r="A446" s="6"/>
      <c r="B446" s="6"/>
      <c r="C446" s="6"/>
      <c r="D446" s="6"/>
      <c r="E446" s="6"/>
      <c r="F446" s="6"/>
    </row>
    <row r="447" spans="1:6" ht="15.75" customHeight="1" x14ac:dyDescent="0.25">
      <c r="A447" s="6"/>
      <c r="B447" s="6"/>
      <c r="C447" s="6"/>
      <c r="D447" s="6"/>
      <c r="E447" s="6"/>
      <c r="F447" s="6"/>
    </row>
    <row r="448" spans="1:6" ht="15.75" customHeight="1" x14ac:dyDescent="0.25">
      <c r="A448" s="6"/>
      <c r="B448" s="6"/>
      <c r="C448" s="6"/>
      <c r="D448" s="6"/>
      <c r="E448" s="6"/>
      <c r="F448" s="6"/>
    </row>
    <row r="449" spans="1:6" ht="15.75" customHeight="1" x14ac:dyDescent="0.25">
      <c r="A449" s="6"/>
      <c r="B449" s="6"/>
      <c r="C449" s="6"/>
      <c r="D449" s="6"/>
      <c r="E449" s="6"/>
      <c r="F449" s="6"/>
    </row>
    <row r="450" spans="1:6" ht="15.75" customHeight="1" x14ac:dyDescent="0.25">
      <c r="A450" s="6"/>
      <c r="B450" s="6"/>
      <c r="C450" s="6"/>
      <c r="D450" s="6"/>
      <c r="E450" s="6"/>
      <c r="F450" s="6"/>
    </row>
    <row r="451" spans="1:6" ht="15.75" customHeight="1" x14ac:dyDescent="0.25">
      <c r="A451" s="6"/>
      <c r="B451" s="6"/>
      <c r="C451" s="6"/>
      <c r="D451" s="6"/>
      <c r="E451" s="6"/>
      <c r="F451" s="6"/>
    </row>
    <row r="452" spans="1:6" ht="15.75" customHeight="1" x14ac:dyDescent="0.25">
      <c r="A452" s="6"/>
      <c r="B452" s="6"/>
      <c r="C452" s="6"/>
      <c r="D452" s="6"/>
      <c r="E452" s="6"/>
      <c r="F452" s="6"/>
    </row>
    <row r="453" spans="1:6" ht="15.75" customHeight="1" x14ac:dyDescent="0.25">
      <c r="A453" s="6"/>
      <c r="B453" s="6"/>
      <c r="C453" s="6"/>
      <c r="D453" s="6"/>
      <c r="E453" s="6"/>
      <c r="F453" s="6"/>
    </row>
    <row r="454" spans="1:6" ht="15.75" customHeight="1" x14ac:dyDescent="0.25">
      <c r="A454" s="6"/>
      <c r="B454" s="6"/>
      <c r="C454" s="6"/>
      <c r="D454" s="6"/>
      <c r="E454" s="6"/>
      <c r="F454" s="6"/>
    </row>
    <row r="455" spans="1:6" ht="15.75" customHeight="1" x14ac:dyDescent="0.25">
      <c r="A455" s="6"/>
      <c r="B455" s="6"/>
      <c r="C455" s="6"/>
      <c r="D455" s="6"/>
      <c r="E455" s="6"/>
      <c r="F455" s="6"/>
    </row>
    <row r="456" spans="1:6" ht="15.75" customHeight="1" x14ac:dyDescent="0.25">
      <c r="A456" s="6"/>
      <c r="B456" s="6"/>
      <c r="C456" s="6"/>
      <c r="D456" s="6"/>
      <c r="E456" s="6"/>
      <c r="F456" s="6"/>
    </row>
    <row r="457" spans="1:6" ht="15.75" customHeight="1" x14ac:dyDescent="0.25">
      <c r="A457" s="6"/>
      <c r="B457" s="6"/>
      <c r="C457" s="6"/>
      <c r="D457" s="6"/>
      <c r="E457" s="6"/>
      <c r="F457" s="6"/>
    </row>
    <row r="458" spans="1:6" ht="15.75" customHeight="1" x14ac:dyDescent="0.25">
      <c r="A458" s="6"/>
      <c r="B458" s="6"/>
      <c r="C458" s="6"/>
      <c r="D458" s="6"/>
      <c r="E458" s="6"/>
      <c r="F458" s="6"/>
    </row>
    <row r="459" spans="1:6" ht="15.75" customHeight="1" x14ac:dyDescent="0.25">
      <c r="A459" s="6"/>
      <c r="B459" s="6"/>
      <c r="C459" s="6"/>
      <c r="D459" s="6"/>
      <c r="E459" s="6"/>
      <c r="F459" s="6"/>
    </row>
    <row r="460" spans="1:6" ht="15.75" customHeight="1" x14ac:dyDescent="0.25">
      <c r="A460" s="6"/>
      <c r="B460" s="6"/>
      <c r="C460" s="6"/>
      <c r="D460" s="6"/>
      <c r="E460" s="6"/>
      <c r="F460" s="6"/>
    </row>
    <row r="461" spans="1:6" ht="15.75" customHeight="1" x14ac:dyDescent="0.25">
      <c r="A461" s="6"/>
      <c r="B461" s="6"/>
      <c r="C461" s="6"/>
      <c r="D461" s="6"/>
      <c r="E461" s="6"/>
      <c r="F461" s="6"/>
    </row>
    <row r="462" spans="1:6" ht="15.75" customHeight="1" x14ac:dyDescent="0.25">
      <c r="A462" s="6"/>
      <c r="B462" s="6"/>
      <c r="C462" s="6"/>
      <c r="D462" s="6"/>
      <c r="E462" s="6"/>
      <c r="F462" s="6"/>
    </row>
    <row r="463" spans="1:6" ht="15.75" customHeight="1" x14ac:dyDescent="0.25">
      <c r="A463" s="6"/>
      <c r="B463" s="6"/>
      <c r="C463" s="6"/>
      <c r="D463" s="6"/>
      <c r="E463" s="6"/>
      <c r="F463" s="6"/>
    </row>
    <row r="464" spans="1:6" ht="15.75" customHeight="1" x14ac:dyDescent="0.25">
      <c r="A464" s="6"/>
      <c r="B464" s="6"/>
      <c r="C464" s="6"/>
      <c r="D464" s="6"/>
      <c r="E464" s="6"/>
      <c r="F464" s="6"/>
    </row>
    <row r="465" spans="1:6" ht="15.75" customHeight="1" x14ac:dyDescent="0.25">
      <c r="A465" s="6"/>
      <c r="B465" s="6"/>
      <c r="C465" s="6"/>
      <c r="D465" s="6"/>
      <c r="E465" s="6"/>
      <c r="F465" s="6"/>
    </row>
    <row r="466" spans="1:6" ht="15.75" customHeight="1" x14ac:dyDescent="0.25">
      <c r="A466" s="6"/>
      <c r="B466" s="6"/>
      <c r="C466" s="6"/>
      <c r="D466" s="6"/>
      <c r="E466" s="6"/>
      <c r="F466" s="6"/>
    </row>
    <row r="467" spans="1:6" ht="15.75" customHeight="1" x14ac:dyDescent="0.25">
      <c r="A467" s="6"/>
      <c r="B467" s="6"/>
      <c r="C467" s="6"/>
      <c r="D467" s="6"/>
      <c r="E467" s="6"/>
      <c r="F467" s="6"/>
    </row>
    <row r="468" spans="1:6" ht="15.75" customHeight="1" x14ac:dyDescent="0.25">
      <c r="A468" s="6"/>
      <c r="B468" s="6"/>
      <c r="C468" s="6"/>
      <c r="D468" s="6"/>
      <c r="E468" s="6"/>
      <c r="F468" s="6"/>
    </row>
    <row r="469" spans="1:6" ht="15.75" customHeight="1" x14ac:dyDescent="0.25">
      <c r="A469" s="6"/>
      <c r="B469" s="6"/>
      <c r="C469" s="6"/>
      <c r="D469" s="6"/>
      <c r="E469" s="6"/>
      <c r="F469" s="6"/>
    </row>
    <row r="470" spans="1:6" ht="15.75" customHeight="1" x14ac:dyDescent="0.25">
      <c r="A470" s="6"/>
      <c r="B470" s="6"/>
      <c r="C470" s="6"/>
      <c r="D470" s="6"/>
      <c r="E470" s="6"/>
      <c r="F470" s="6"/>
    </row>
    <row r="471" spans="1:6" ht="15.75" customHeight="1" x14ac:dyDescent="0.25">
      <c r="A471" s="6"/>
      <c r="B471" s="6"/>
      <c r="C471" s="6"/>
      <c r="D471" s="6"/>
      <c r="E471" s="6"/>
      <c r="F471" s="6"/>
    </row>
    <row r="472" spans="1:6" ht="15.75" customHeight="1" x14ac:dyDescent="0.25">
      <c r="A472" s="6"/>
      <c r="B472" s="6"/>
      <c r="C472" s="6"/>
      <c r="D472" s="6"/>
      <c r="E472" s="6"/>
      <c r="F472" s="6"/>
    </row>
    <row r="473" spans="1:6" ht="15.75" customHeight="1" x14ac:dyDescent="0.25">
      <c r="A473" s="6"/>
      <c r="B473" s="6"/>
      <c r="C473" s="6"/>
      <c r="D473" s="6"/>
      <c r="E473" s="6"/>
      <c r="F473" s="6"/>
    </row>
    <row r="474" spans="1:6" ht="15.75" customHeight="1" x14ac:dyDescent="0.25">
      <c r="A474" s="6"/>
      <c r="B474" s="6"/>
      <c r="C474" s="6"/>
      <c r="D474" s="6"/>
      <c r="E474" s="6"/>
      <c r="F474" s="6"/>
    </row>
    <row r="475" spans="1:6" ht="15.75" customHeight="1" x14ac:dyDescent="0.25">
      <c r="A475" s="6"/>
      <c r="B475" s="6"/>
      <c r="C475" s="6"/>
      <c r="D475" s="6"/>
      <c r="E475" s="6"/>
      <c r="F475" s="6"/>
    </row>
    <row r="476" spans="1:6" ht="15.75" customHeight="1" x14ac:dyDescent="0.25">
      <c r="A476" s="6"/>
      <c r="B476" s="6"/>
      <c r="C476" s="6"/>
      <c r="D476" s="6"/>
      <c r="E476" s="6"/>
      <c r="F476" s="6"/>
    </row>
    <row r="477" spans="1:6" ht="15.75" customHeight="1" x14ac:dyDescent="0.25">
      <c r="A477" s="6"/>
      <c r="B477" s="6"/>
      <c r="C477" s="6"/>
      <c r="D477" s="6"/>
      <c r="E477" s="6"/>
      <c r="F477" s="6"/>
    </row>
    <row r="478" spans="1:6" ht="15.75" customHeight="1" x14ac:dyDescent="0.25">
      <c r="A478" s="6"/>
      <c r="B478" s="6"/>
      <c r="C478" s="6"/>
      <c r="D478" s="6"/>
      <c r="E478" s="6"/>
      <c r="F478" s="6"/>
    </row>
    <row r="479" spans="1:6" ht="15.75" customHeight="1" x14ac:dyDescent="0.25">
      <c r="A479" s="6"/>
      <c r="B479" s="6"/>
      <c r="C479" s="6"/>
      <c r="D479" s="6"/>
      <c r="E479" s="6"/>
      <c r="F479" s="6"/>
    </row>
    <row r="480" spans="1:6" ht="15.75" customHeight="1" x14ac:dyDescent="0.25">
      <c r="A480" s="6"/>
      <c r="B480" s="6"/>
      <c r="C480" s="6"/>
      <c r="D480" s="6"/>
      <c r="E480" s="6"/>
      <c r="F480" s="6"/>
    </row>
    <row r="481" spans="1:6" ht="15.75" customHeight="1" x14ac:dyDescent="0.25">
      <c r="A481" s="6"/>
      <c r="B481" s="6"/>
      <c r="C481" s="6"/>
      <c r="D481" s="6"/>
      <c r="E481" s="6"/>
      <c r="F481" s="6"/>
    </row>
    <row r="482" spans="1:6" ht="15.75" customHeight="1" x14ac:dyDescent="0.25">
      <c r="A482" s="6"/>
      <c r="B482" s="6"/>
      <c r="C482" s="6"/>
      <c r="D482" s="6"/>
      <c r="E482" s="6"/>
      <c r="F482" s="6"/>
    </row>
    <row r="483" spans="1:6" ht="15.75" customHeight="1" x14ac:dyDescent="0.25">
      <c r="A483" s="6"/>
      <c r="B483" s="6"/>
      <c r="C483" s="6"/>
      <c r="D483" s="6"/>
      <c r="E483" s="6"/>
      <c r="F483" s="6"/>
    </row>
    <row r="484" spans="1:6" ht="15.75" customHeight="1" x14ac:dyDescent="0.25">
      <c r="A484" s="6"/>
      <c r="B484" s="6"/>
      <c r="C484" s="6"/>
      <c r="D484" s="6"/>
      <c r="E484" s="6"/>
      <c r="F484" s="6"/>
    </row>
    <row r="485" spans="1:6" ht="15.75" customHeight="1" x14ac:dyDescent="0.25">
      <c r="A485" s="6"/>
      <c r="B485" s="6"/>
      <c r="C485" s="6"/>
      <c r="D485" s="6"/>
      <c r="E485" s="6"/>
      <c r="F485" s="6"/>
    </row>
    <row r="486" spans="1:6" ht="15.75" customHeight="1" x14ac:dyDescent="0.25">
      <c r="A486" s="6"/>
      <c r="B486" s="6"/>
      <c r="C486" s="6"/>
      <c r="D486" s="6"/>
      <c r="E486" s="6"/>
      <c r="F486" s="6"/>
    </row>
    <row r="487" spans="1:6" ht="15.75" customHeight="1" x14ac:dyDescent="0.25">
      <c r="A487" s="6"/>
      <c r="B487" s="6"/>
      <c r="C487" s="6"/>
      <c r="D487" s="6"/>
      <c r="E487" s="6"/>
      <c r="F487" s="6"/>
    </row>
    <row r="488" spans="1:6" ht="15.75" customHeight="1" x14ac:dyDescent="0.25">
      <c r="A488" s="6"/>
      <c r="B488" s="6"/>
      <c r="C488" s="6"/>
      <c r="D488" s="6"/>
      <c r="E488" s="6"/>
      <c r="F488" s="6"/>
    </row>
    <row r="489" spans="1:6" ht="15.75" customHeight="1" x14ac:dyDescent="0.25">
      <c r="A489" s="6"/>
      <c r="B489" s="6"/>
      <c r="C489" s="6"/>
      <c r="D489" s="6"/>
      <c r="E489" s="6"/>
      <c r="F489" s="6"/>
    </row>
    <row r="490" spans="1:6" ht="15.75" customHeight="1" x14ac:dyDescent="0.25">
      <c r="A490" s="6"/>
      <c r="B490" s="6"/>
      <c r="C490" s="6"/>
      <c r="D490" s="6"/>
      <c r="E490" s="6"/>
      <c r="F490" s="6"/>
    </row>
    <row r="491" spans="1:6" ht="15.75" customHeight="1" x14ac:dyDescent="0.25">
      <c r="A491" s="6"/>
      <c r="B491" s="6"/>
      <c r="C491" s="6"/>
      <c r="D491" s="6"/>
      <c r="E491" s="6"/>
      <c r="F491" s="6"/>
    </row>
    <row r="492" spans="1:6" ht="15.75" customHeight="1" x14ac:dyDescent="0.25">
      <c r="A492" s="6"/>
      <c r="B492" s="6"/>
      <c r="C492" s="6"/>
      <c r="D492" s="6"/>
      <c r="E492" s="6"/>
      <c r="F492" s="6"/>
    </row>
    <row r="493" spans="1:6" ht="15.75" customHeight="1" x14ac:dyDescent="0.25">
      <c r="A493" s="6"/>
      <c r="B493" s="6"/>
      <c r="C493" s="6"/>
      <c r="D493" s="6"/>
      <c r="E493" s="6"/>
      <c r="F493" s="6"/>
    </row>
    <row r="494" spans="1:6" ht="15.75" customHeight="1" x14ac:dyDescent="0.25">
      <c r="A494" s="6"/>
      <c r="B494" s="6"/>
      <c r="C494" s="6"/>
      <c r="D494" s="6"/>
      <c r="E494" s="6"/>
      <c r="F494" s="6"/>
    </row>
    <row r="495" spans="1:6" ht="15.75" customHeight="1" x14ac:dyDescent="0.25">
      <c r="A495" s="6"/>
      <c r="B495" s="6"/>
      <c r="C495" s="6"/>
      <c r="D495" s="6"/>
      <c r="E495" s="6"/>
      <c r="F495" s="6"/>
    </row>
    <row r="496" spans="1:6" ht="15.75" customHeight="1" x14ac:dyDescent="0.25">
      <c r="A496" s="6"/>
      <c r="B496" s="6"/>
      <c r="C496" s="6"/>
      <c r="D496" s="6"/>
      <c r="E496" s="6"/>
      <c r="F496" s="6"/>
    </row>
    <row r="497" spans="1:6" ht="15.75" customHeight="1" x14ac:dyDescent="0.25">
      <c r="A497" s="6"/>
      <c r="B497" s="6"/>
      <c r="C497" s="6"/>
      <c r="D497" s="6"/>
      <c r="E497" s="6"/>
      <c r="F497" s="6"/>
    </row>
    <row r="498" spans="1:6" ht="15.75" customHeight="1" x14ac:dyDescent="0.25">
      <c r="A498" s="6"/>
      <c r="B498" s="6"/>
      <c r="C498" s="6"/>
      <c r="D498" s="6"/>
      <c r="E498" s="6"/>
      <c r="F498" s="6"/>
    </row>
    <row r="499" spans="1:6" ht="15.75" customHeight="1" x14ac:dyDescent="0.25">
      <c r="A499" s="6"/>
      <c r="B499" s="6"/>
      <c r="C499" s="6"/>
      <c r="D499" s="6"/>
      <c r="E499" s="6"/>
      <c r="F499" s="6"/>
    </row>
    <row r="500" spans="1:6" ht="15.75" customHeight="1" x14ac:dyDescent="0.25">
      <c r="A500" s="6"/>
      <c r="B500" s="6"/>
      <c r="C500" s="6"/>
      <c r="D500" s="6"/>
      <c r="E500" s="6"/>
      <c r="F500" s="6"/>
    </row>
    <row r="501" spans="1:6" ht="15.75" customHeight="1" x14ac:dyDescent="0.25">
      <c r="A501" s="6"/>
      <c r="B501" s="6"/>
      <c r="C501" s="6"/>
      <c r="D501" s="6"/>
      <c r="E501" s="6"/>
      <c r="F501" s="6"/>
    </row>
    <row r="502" spans="1:6" ht="15.75" customHeight="1" x14ac:dyDescent="0.25">
      <c r="A502" s="6"/>
      <c r="B502" s="6"/>
      <c r="C502" s="6"/>
      <c r="D502" s="6"/>
      <c r="E502" s="6"/>
      <c r="F502" s="6"/>
    </row>
    <row r="503" spans="1:6" ht="15.75" customHeight="1" x14ac:dyDescent="0.25">
      <c r="A503" s="6"/>
      <c r="B503" s="6"/>
      <c r="C503" s="6"/>
      <c r="D503" s="6"/>
      <c r="E503" s="6"/>
      <c r="F503" s="6"/>
    </row>
    <row r="504" spans="1:6" ht="15.75" customHeight="1" x14ac:dyDescent="0.25">
      <c r="A504" s="6"/>
      <c r="B504" s="6"/>
      <c r="C504" s="6"/>
      <c r="D504" s="6"/>
      <c r="E504" s="6"/>
      <c r="F504" s="6"/>
    </row>
    <row r="505" spans="1:6" ht="15.75" customHeight="1" x14ac:dyDescent="0.25">
      <c r="A505" s="6"/>
      <c r="B505" s="6"/>
      <c r="C505" s="6"/>
      <c r="D505" s="6"/>
      <c r="E505" s="6"/>
      <c r="F505" s="6"/>
    </row>
    <row r="506" spans="1:6" ht="15.75" customHeight="1" x14ac:dyDescent="0.25">
      <c r="A506" s="6"/>
      <c r="B506" s="6"/>
      <c r="C506" s="6"/>
      <c r="D506" s="6"/>
      <c r="E506" s="6"/>
      <c r="F506" s="6"/>
    </row>
    <row r="507" spans="1:6" ht="15.75" customHeight="1" x14ac:dyDescent="0.25">
      <c r="A507" s="6"/>
      <c r="B507" s="6"/>
      <c r="C507" s="6"/>
      <c r="D507" s="6"/>
      <c r="E507" s="6"/>
      <c r="F507" s="6"/>
    </row>
    <row r="508" spans="1:6" ht="15.75" customHeight="1" x14ac:dyDescent="0.25">
      <c r="A508" s="6"/>
      <c r="B508" s="6"/>
      <c r="C508" s="6"/>
      <c r="D508" s="6"/>
      <c r="E508" s="6"/>
      <c r="F508" s="6"/>
    </row>
    <row r="509" spans="1:6" ht="15.75" customHeight="1" x14ac:dyDescent="0.25">
      <c r="A509" s="6"/>
      <c r="B509" s="6"/>
      <c r="C509" s="6"/>
      <c r="D509" s="6"/>
      <c r="E509" s="6"/>
      <c r="F509" s="6"/>
    </row>
    <row r="510" spans="1:6" ht="15.75" customHeight="1" x14ac:dyDescent="0.25">
      <c r="A510" s="6"/>
      <c r="B510" s="6"/>
      <c r="C510" s="6"/>
      <c r="D510" s="6"/>
      <c r="E510" s="6"/>
      <c r="F510" s="6"/>
    </row>
    <row r="511" spans="1:6" ht="15.75" customHeight="1" x14ac:dyDescent="0.25">
      <c r="A511" s="6"/>
      <c r="B511" s="6"/>
      <c r="C511" s="6"/>
      <c r="D511" s="6"/>
      <c r="E511" s="6"/>
      <c r="F511" s="6"/>
    </row>
    <row r="512" spans="1:6" ht="15.75" customHeight="1" x14ac:dyDescent="0.25">
      <c r="A512" s="6"/>
      <c r="B512" s="6"/>
      <c r="C512" s="6"/>
      <c r="D512" s="6"/>
      <c r="E512" s="6"/>
      <c r="F512" s="6"/>
    </row>
    <row r="513" spans="1:6" ht="15.75" customHeight="1" x14ac:dyDescent="0.25">
      <c r="A513" s="6"/>
      <c r="B513" s="6"/>
      <c r="C513" s="6"/>
      <c r="D513" s="6"/>
      <c r="E513" s="6"/>
      <c r="F513" s="6"/>
    </row>
    <row r="514" spans="1:6" ht="15.75" customHeight="1" x14ac:dyDescent="0.25">
      <c r="A514" s="6"/>
      <c r="B514" s="6"/>
      <c r="C514" s="6"/>
      <c r="D514" s="6"/>
      <c r="E514" s="6"/>
      <c r="F514" s="6"/>
    </row>
    <row r="515" spans="1:6" ht="15.75" customHeight="1" x14ac:dyDescent="0.25">
      <c r="A515" s="6"/>
      <c r="B515" s="6"/>
      <c r="C515" s="6"/>
      <c r="D515" s="6"/>
      <c r="E515" s="6"/>
      <c r="F515" s="6"/>
    </row>
    <row r="516" spans="1:6" ht="15.75" customHeight="1" x14ac:dyDescent="0.25">
      <c r="A516" s="6"/>
      <c r="B516" s="6"/>
      <c r="C516" s="6"/>
      <c r="D516" s="6"/>
      <c r="E516" s="6"/>
      <c r="F516" s="6"/>
    </row>
    <row r="517" spans="1:6" ht="15.75" customHeight="1" x14ac:dyDescent="0.25">
      <c r="A517" s="6"/>
      <c r="B517" s="6"/>
      <c r="C517" s="6"/>
      <c r="D517" s="6"/>
      <c r="E517" s="6"/>
      <c r="F517" s="6"/>
    </row>
    <row r="518" spans="1:6" ht="15.75" customHeight="1" x14ac:dyDescent="0.25">
      <c r="A518" s="6"/>
      <c r="B518" s="6"/>
      <c r="C518" s="6"/>
      <c r="D518" s="6"/>
      <c r="E518" s="6"/>
      <c r="F518" s="6"/>
    </row>
    <row r="519" spans="1:6" ht="15.75" customHeight="1" x14ac:dyDescent="0.25">
      <c r="A519" s="6"/>
      <c r="B519" s="6"/>
      <c r="C519" s="6"/>
      <c r="D519" s="6"/>
      <c r="E519" s="6"/>
      <c r="F519" s="6"/>
    </row>
    <row r="520" spans="1:6" ht="15.75" customHeight="1" x14ac:dyDescent="0.25">
      <c r="A520" s="6"/>
      <c r="B520" s="6"/>
      <c r="C520" s="6"/>
      <c r="D520" s="6"/>
      <c r="E520" s="6"/>
      <c r="F520" s="6"/>
    </row>
    <row r="521" spans="1:6" ht="15.75" customHeight="1" x14ac:dyDescent="0.25">
      <c r="A521" s="6"/>
      <c r="B521" s="6"/>
      <c r="C521" s="6"/>
      <c r="D521" s="6"/>
      <c r="E521" s="6"/>
      <c r="F521" s="6"/>
    </row>
    <row r="522" spans="1:6" ht="15.75" customHeight="1" x14ac:dyDescent="0.25">
      <c r="A522" s="6"/>
      <c r="B522" s="6"/>
      <c r="C522" s="6"/>
      <c r="D522" s="6"/>
      <c r="E522" s="6"/>
      <c r="F522" s="6"/>
    </row>
    <row r="523" spans="1:6" ht="15.75" customHeight="1" x14ac:dyDescent="0.25">
      <c r="A523" s="6"/>
      <c r="B523" s="6"/>
      <c r="C523" s="6"/>
      <c r="D523" s="6"/>
      <c r="E523" s="6"/>
      <c r="F523" s="6"/>
    </row>
    <row r="524" spans="1:6" ht="15.75" customHeight="1" x14ac:dyDescent="0.25">
      <c r="A524" s="6"/>
      <c r="B524" s="6"/>
      <c r="C524" s="6"/>
      <c r="D524" s="6"/>
      <c r="E524" s="6"/>
      <c r="F524" s="6"/>
    </row>
    <row r="525" spans="1:6" ht="15.75" customHeight="1" x14ac:dyDescent="0.25">
      <c r="A525" s="6"/>
      <c r="B525" s="6"/>
      <c r="C525" s="6"/>
      <c r="D525" s="6"/>
      <c r="E525" s="6"/>
      <c r="F525" s="6"/>
    </row>
    <row r="526" spans="1:6" ht="15.75" customHeight="1" x14ac:dyDescent="0.25">
      <c r="A526" s="6"/>
      <c r="B526" s="6"/>
      <c r="C526" s="6"/>
      <c r="D526" s="6"/>
      <c r="E526" s="6"/>
      <c r="F526" s="6"/>
    </row>
    <row r="527" spans="1:6" ht="15.75" customHeight="1" x14ac:dyDescent="0.25">
      <c r="A527" s="6"/>
      <c r="B527" s="6"/>
      <c r="C527" s="6"/>
      <c r="D527" s="6"/>
      <c r="E527" s="6"/>
      <c r="F527" s="6"/>
    </row>
    <row r="528" spans="1:6" ht="15.75" customHeight="1" x14ac:dyDescent="0.25">
      <c r="A528" s="6"/>
      <c r="B528" s="6"/>
      <c r="C528" s="6"/>
      <c r="D528" s="6"/>
      <c r="E528" s="6"/>
      <c r="F528" s="6"/>
    </row>
    <row r="529" spans="1:6" ht="15.75" customHeight="1" x14ac:dyDescent="0.25">
      <c r="A529" s="6"/>
      <c r="B529" s="6"/>
      <c r="C529" s="6"/>
      <c r="D529" s="6"/>
      <c r="E529" s="6"/>
      <c r="F529" s="6"/>
    </row>
    <row r="530" spans="1:6" ht="15.75" customHeight="1" x14ac:dyDescent="0.25">
      <c r="A530" s="6"/>
      <c r="B530" s="6"/>
      <c r="C530" s="6"/>
      <c r="D530" s="6"/>
      <c r="E530" s="6"/>
      <c r="F530" s="6"/>
    </row>
    <row r="531" spans="1:6" ht="15.75" customHeight="1" x14ac:dyDescent="0.25">
      <c r="A531" s="6"/>
      <c r="B531" s="6"/>
      <c r="C531" s="6"/>
      <c r="D531" s="6"/>
      <c r="E531" s="6"/>
      <c r="F531" s="6"/>
    </row>
    <row r="532" spans="1:6" ht="15.75" customHeight="1" x14ac:dyDescent="0.25">
      <c r="A532" s="6"/>
      <c r="B532" s="6"/>
      <c r="C532" s="6"/>
      <c r="D532" s="6"/>
      <c r="E532" s="6"/>
      <c r="F532" s="6"/>
    </row>
    <row r="533" spans="1:6" ht="15.75" customHeight="1" x14ac:dyDescent="0.25">
      <c r="A533" s="6"/>
      <c r="B533" s="6"/>
      <c r="C533" s="6"/>
      <c r="D533" s="6"/>
      <c r="E533" s="6"/>
      <c r="F533" s="6"/>
    </row>
    <row r="534" spans="1:6" ht="15.75" customHeight="1" x14ac:dyDescent="0.25">
      <c r="A534" s="6"/>
      <c r="B534" s="6"/>
      <c r="C534" s="6"/>
      <c r="D534" s="6"/>
      <c r="E534" s="6"/>
      <c r="F534" s="6"/>
    </row>
    <row r="535" spans="1:6" ht="15.75" customHeight="1" x14ac:dyDescent="0.25">
      <c r="A535" s="6"/>
      <c r="B535" s="6"/>
      <c r="C535" s="6"/>
      <c r="D535" s="6"/>
      <c r="E535" s="6"/>
      <c r="F535" s="6"/>
    </row>
    <row r="536" spans="1:6" ht="15.75" customHeight="1" x14ac:dyDescent="0.25">
      <c r="A536" s="6"/>
      <c r="B536" s="6"/>
      <c r="C536" s="6"/>
      <c r="D536" s="6"/>
      <c r="E536" s="6"/>
      <c r="F536" s="6"/>
    </row>
    <row r="537" spans="1:6" ht="15.75" customHeight="1" x14ac:dyDescent="0.25">
      <c r="A537" s="6"/>
      <c r="B537" s="6"/>
      <c r="C537" s="6"/>
      <c r="D537" s="6"/>
      <c r="E537" s="6"/>
      <c r="F537" s="6"/>
    </row>
    <row r="538" spans="1:6" ht="15.75" customHeight="1" x14ac:dyDescent="0.25">
      <c r="A538" s="6"/>
      <c r="B538" s="6"/>
      <c r="C538" s="6"/>
      <c r="D538" s="6"/>
      <c r="E538" s="6"/>
      <c r="F538" s="6"/>
    </row>
    <row r="539" spans="1:6" ht="15.75" customHeight="1" x14ac:dyDescent="0.25">
      <c r="A539" s="6"/>
      <c r="B539" s="6"/>
      <c r="C539" s="6"/>
      <c r="D539" s="6"/>
      <c r="E539" s="6"/>
      <c r="F539" s="6"/>
    </row>
    <row r="540" spans="1:6" ht="15.75" customHeight="1" x14ac:dyDescent="0.25">
      <c r="A540" s="6"/>
      <c r="B540" s="6"/>
      <c r="C540" s="6"/>
      <c r="D540" s="6"/>
      <c r="E540" s="6"/>
      <c r="F540" s="6"/>
    </row>
    <row r="541" spans="1:6" ht="15.75" customHeight="1" x14ac:dyDescent="0.25">
      <c r="A541" s="6"/>
      <c r="B541" s="6"/>
      <c r="C541" s="6"/>
      <c r="D541" s="6"/>
      <c r="E541" s="6"/>
      <c r="F541" s="6"/>
    </row>
    <row r="542" spans="1:6" ht="15.75" customHeight="1" x14ac:dyDescent="0.25">
      <c r="A542" s="6"/>
      <c r="B542" s="6"/>
      <c r="C542" s="6"/>
      <c r="D542" s="6"/>
      <c r="E542" s="6"/>
      <c r="F542" s="6"/>
    </row>
    <row r="543" spans="1:6" ht="15.75" customHeight="1" x14ac:dyDescent="0.25">
      <c r="A543" s="6"/>
      <c r="B543" s="6"/>
      <c r="C543" s="6"/>
      <c r="D543" s="6"/>
      <c r="E543" s="6"/>
      <c r="F543" s="6"/>
    </row>
    <row r="544" spans="1:6" ht="15.75" customHeight="1" x14ac:dyDescent="0.25">
      <c r="A544" s="6"/>
      <c r="B544" s="6"/>
      <c r="C544" s="6"/>
      <c r="D544" s="6"/>
      <c r="E544" s="6"/>
      <c r="F544" s="6"/>
    </row>
    <row r="545" spans="1:6" ht="15.75" customHeight="1" x14ac:dyDescent="0.25">
      <c r="A545" s="6"/>
      <c r="B545" s="6"/>
      <c r="C545" s="6"/>
      <c r="D545" s="6"/>
      <c r="E545" s="6"/>
      <c r="F545" s="6"/>
    </row>
    <row r="546" spans="1:6" ht="15.75" customHeight="1" x14ac:dyDescent="0.25">
      <c r="A546" s="6"/>
      <c r="B546" s="6"/>
      <c r="C546" s="6"/>
      <c r="D546" s="6"/>
      <c r="E546" s="6"/>
      <c r="F546" s="6"/>
    </row>
    <row r="547" spans="1:6" ht="15.75" customHeight="1" x14ac:dyDescent="0.25">
      <c r="A547" s="6"/>
      <c r="B547" s="6"/>
      <c r="C547" s="6"/>
      <c r="D547" s="6"/>
      <c r="E547" s="6"/>
      <c r="F547" s="6"/>
    </row>
    <row r="548" spans="1:6" ht="15.75" customHeight="1" x14ac:dyDescent="0.25">
      <c r="A548" s="6"/>
      <c r="B548" s="6"/>
      <c r="C548" s="6"/>
      <c r="D548" s="6"/>
      <c r="E548" s="6"/>
      <c r="F548" s="6"/>
    </row>
    <row r="549" spans="1:6" ht="15.75" customHeight="1" x14ac:dyDescent="0.25">
      <c r="A549" s="6"/>
      <c r="B549" s="6"/>
      <c r="C549" s="6"/>
      <c r="D549" s="6"/>
      <c r="E549" s="6"/>
      <c r="F549" s="6"/>
    </row>
    <row r="550" spans="1:6" ht="15.75" customHeight="1" x14ac:dyDescent="0.25">
      <c r="A550" s="6"/>
      <c r="B550" s="6"/>
      <c r="C550" s="6"/>
      <c r="D550" s="6"/>
      <c r="E550" s="6"/>
      <c r="F550" s="6"/>
    </row>
    <row r="551" spans="1:6" ht="15.75" customHeight="1" x14ac:dyDescent="0.25">
      <c r="A551" s="6"/>
      <c r="B551" s="6"/>
      <c r="C551" s="6"/>
      <c r="D551" s="6"/>
      <c r="E551" s="6"/>
      <c r="F551" s="6"/>
    </row>
    <row r="552" spans="1:6" ht="15.75" customHeight="1" x14ac:dyDescent="0.25">
      <c r="A552" s="6"/>
      <c r="B552" s="6"/>
      <c r="C552" s="6"/>
      <c r="D552" s="6"/>
      <c r="E552" s="6"/>
      <c r="F552" s="6"/>
    </row>
    <row r="553" spans="1:6" ht="15.75" customHeight="1" x14ac:dyDescent="0.25">
      <c r="A553" s="6"/>
      <c r="B553" s="6"/>
      <c r="C553" s="6"/>
      <c r="D553" s="6"/>
      <c r="E553" s="6"/>
      <c r="F553" s="6"/>
    </row>
    <row r="554" spans="1:6" ht="15.75" customHeight="1" x14ac:dyDescent="0.25">
      <c r="A554" s="6"/>
      <c r="B554" s="6"/>
      <c r="C554" s="6"/>
      <c r="D554" s="6"/>
      <c r="E554" s="6"/>
      <c r="F554" s="6"/>
    </row>
    <row r="555" spans="1:6" ht="15.75" customHeight="1" x14ac:dyDescent="0.25">
      <c r="A555" s="6"/>
      <c r="B555" s="6"/>
      <c r="C555" s="6"/>
      <c r="D555" s="6"/>
      <c r="E555" s="6"/>
      <c r="F555" s="6"/>
    </row>
    <row r="556" spans="1:6" ht="15.75" customHeight="1" x14ac:dyDescent="0.25">
      <c r="A556" s="6"/>
      <c r="B556" s="6"/>
      <c r="C556" s="6"/>
      <c r="D556" s="6"/>
      <c r="E556" s="6"/>
      <c r="F556" s="6"/>
    </row>
    <row r="557" spans="1:6" ht="15.75" customHeight="1" x14ac:dyDescent="0.25">
      <c r="A557" s="6"/>
      <c r="B557" s="6"/>
      <c r="C557" s="6"/>
      <c r="D557" s="6"/>
      <c r="E557" s="6"/>
      <c r="F557" s="6"/>
    </row>
    <row r="558" spans="1:6" ht="15.75" customHeight="1" x14ac:dyDescent="0.25">
      <c r="A558" s="6"/>
      <c r="B558" s="6"/>
      <c r="C558" s="6"/>
      <c r="D558" s="6"/>
      <c r="E558" s="6"/>
      <c r="F558" s="6"/>
    </row>
    <row r="559" spans="1:6" ht="15.75" customHeight="1" x14ac:dyDescent="0.25">
      <c r="A559" s="6"/>
      <c r="B559" s="6"/>
      <c r="C559" s="6"/>
      <c r="D559" s="6"/>
      <c r="E559" s="6"/>
      <c r="F559" s="6"/>
    </row>
    <row r="560" spans="1:6" ht="15.75" customHeight="1" x14ac:dyDescent="0.25">
      <c r="A560" s="6"/>
      <c r="B560" s="6"/>
      <c r="C560" s="6"/>
      <c r="D560" s="6"/>
      <c r="E560" s="6"/>
      <c r="F560" s="6"/>
    </row>
    <row r="561" spans="1:6" ht="15.75" customHeight="1" x14ac:dyDescent="0.25">
      <c r="A561" s="6"/>
      <c r="B561" s="6"/>
      <c r="C561" s="6"/>
      <c r="D561" s="6"/>
      <c r="E561" s="6"/>
      <c r="F561" s="6"/>
    </row>
    <row r="562" spans="1:6" ht="15.75" customHeight="1" x14ac:dyDescent="0.25">
      <c r="A562" s="6"/>
      <c r="B562" s="6"/>
      <c r="C562" s="6"/>
      <c r="D562" s="6"/>
      <c r="E562" s="6"/>
      <c r="F562" s="6"/>
    </row>
    <row r="563" spans="1:6" ht="15.75" customHeight="1" x14ac:dyDescent="0.25">
      <c r="A563" s="6"/>
      <c r="B563" s="6"/>
      <c r="C563" s="6"/>
      <c r="D563" s="6"/>
      <c r="E563" s="6"/>
      <c r="F563" s="6"/>
    </row>
    <row r="564" spans="1:6" ht="15.75" customHeight="1" x14ac:dyDescent="0.25">
      <c r="A564" s="6"/>
      <c r="B564" s="6"/>
      <c r="C564" s="6"/>
      <c r="D564" s="6"/>
      <c r="E564" s="6"/>
      <c r="F564" s="6"/>
    </row>
    <row r="565" spans="1:6" ht="15.75" customHeight="1" x14ac:dyDescent="0.25">
      <c r="A565" s="6"/>
      <c r="B565" s="6"/>
      <c r="C565" s="6"/>
      <c r="D565" s="6"/>
      <c r="E565" s="6"/>
      <c r="F565" s="6"/>
    </row>
    <row r="566" spans="1:6" ht="15.75" customHeight="1" x14ac:dyDescent="0.25">
      <c r="A566" s="6"/>
      <c r="B566" s="6"/>
      <c r="C566" s="6"/>
      <c r="D566" s="6"/>
      <c r="E566" s="6"/>
      <c r="F566" s="6"/>
    </row>
    <row r="567" spans="1:6" ht="15.75" customHeight="1" x14ac:dyDescent="0.25">
      <c r="A567" s="6"/>
      <c r="B567" s="6"/>
      <c r="C567" s="6"/>
      <c r="D567" s="6"/>
      <c r="E567" s="6"/>
      <c r="F567" s="6"/>
    </row>
    <row r="568" spans="1:6" ht="15.75" customHeight="1" x14ac:dyDescent="0.25">
      <c r="A568" s="6"/>
      <c r="B568" s="6"/>
      <c r="C568" s="6"/>
      <c r="D568" s="6"/>
      <c r="E568" s="6"/>
      <c r="F568" s="6"/>
    </row>
    <row r="569" spans="1:6" ht="15.75" customHeight="1" x14ac:dyDescent="0.25">
      <c r="A569" s="6"/>
      <c r="B569" s="6"/>
      <c r="C569" s="6"/>
      <c r="D569" s="6"/>
      <c r="E569" s="6"/>
      <c r="F569" s="6"/>
    </row>
    <row r="570" spans="1:6" ht="15.75" customHeight="1" x14ac:dyDescent="0.25">
      <c r="A570" s="6"/>
      <c r="B570" s="6"/>
      <c r="C570" s="6"/>
      <c r="D570" s="6"/>
      <c r="E570" s="6"/>
      <c r="F570" s="6"/>
    </row>
    <row r="571" spans="1:6" ht="15.75" customHeight="1" x14ac:dyDescent="0.25">
      <c r="A571" s="6"/>
      <c r="B571" s="6"/>
      <c r="C571" s="6"/>
      <c r="D571" s="6"/>
      <c r="E571" s="6"/>
      <c r="F571" s="6"/>
    </row>
    <row r="572" spans="1:6" ht="15.75" customHeight="1" x14ac:dyDescent="0.25">
      <c r="A572" s="6"/>
      <c r="B572" s="6"/>
      <c r="C572" s="6"/>
      <c r="D572" s="6"/>
      <c r="E572" s="6"/>
      <c r="F572" s="6"/>
    </row>
    <row r="573" spans="1:6" ht="15.75" customHeight="1" x14ac:dyDescent="0.25">
      <c r="A573" s="6"/>
      <c r="B573" s="6"/>
      <c r="C573" s="6"/>
      <c r="D573" s="6"/>
      <c r="E573" s="6"/>
      <c r="F573" s="6"/>
    </row>
    <row r="574" spans="1:6" ht="15.75" customHeight="1" x14ac:dyDescent="0.25">
      <c r="A574" s="6"/>
      <c r="B574" s="6"/>
      <c r="C574" s="6"/>
      <c r="D574" s="6"/>
      <c r="E574" s="6"/>
      <c r="F574" s="6"/>
    </row>
    <row r="575" spans="1:6" ht="15.75" customHeight="1" x14ac:dyDescent="0.25">
      <c r="A575" s="6"/>
      <c r="B575" s="6"/>
      <c r="C575" s="6"/>
      <c r="D575" s="6"/>
      <c r="E575" s="6"/>
      <c r="F575" s="6"/>
    </row>
    <row r="576" spans="1:6" ht="15.75" customHeight="1" x14ac:dyDescent="0.25">
      <c r="A576" s="6"/>
      <c r="B576" s="6"/>
      <c r="C576" s="6"/>
      <c r="D576" s="6"/>
      <c r="E576" s="6"/>
      <c r="F576" s="6"/>
    </row>
    <row r="577" spans="1:6" ht="15.75" customHeight="1" x14ac:dyDescent="0.25">
      <c r="A577" s="6"/>
      <c r="B577" s="6"/>
      <c r="C577" s="6"/>
      <c r="D577" s="6"/>
      <c r="E577" s="6"/>
      <c r="F577" s="6"/>
    </row>
    <row r="578" spans="1:6" ht="15.75" customHeight="1" x14ac:dyDescent="0.25">
      <c r="A578" s="6"/>
      <c r="B578" s="6"/>
      <c r="C578" s="6"/>
      <c r="D578" s="6"/>
      <c r="E578" s="6"/>
      <c r="F578" s="6"/>
    </row>
    <row r="579" spans="1:6" ht="15.75" customHeight="1" x14ac:dyDescent="0.25">
      <c r="A579" s="6"/>
      <c r="B579" s="6"/>
      <c r="C579" s="6"/>
      <c r="D579" s="6"/>
      <c r="E579" s="6"/>
      <c r="F579" s="6"/>
    </row>
    <row r="580" spans="1:6" ht="15.75" customHeight="1" x14ac:dyDescent="0.25">
      <c r="A580" s="6"/>
      <c r="B580" s="6"/>
      <c r="C580" s="6"/>
      <c r="D580" s="6"/>
      <c r="E580" s="6"/>
      <c r="F580" s="6"/>
    </row>
    <row r="581" spans="1:6" ht="15.75" customHeight="1" x14ac:dyDescent="0.25">
      <c r="A581" s="6"/>
      <c r="B581" s="6"/>
      <c r="C581" s="6"/>
      <c r="D581" s="6"/>
      <c r="E581" s="6"/>
      <c r="F581" s="6"/>
    </row>
    <row r="582" spans="1:6" ht="15.75" customHeight="1" x14ac:dyDescent="0.25">
      <c r="A582" s="6"/>
      <c r="B582" s="6"/>
      <c r="C582" s="6"/>
      <c r="D582" s="6"/>
      <c r="E582" s="6"/>
      <c r="F582" s="6"/>
    </row>
    <row r="583" spans="1:6" ht="15.75" customHeight="1" x14ac:dyDescent="0.25">
      <c r="A583" s="6"/>
      <c r="B583" s="6"/>
      <c r="C583" s="6"/>
      <c r="D583" s="6"/>
      <c r="E583" s="6"/>
      <c r="F583" s="6"/>
    </row>
    <row r="584" spans="1:6" ht="15.75" customHeight="1" x14ac:dyDescent="0.25">
      <c r="A584" s="6"/>
      <c r="B584" s="6"/>
      <c r="C584" s="6"/>
      <c r="D584" s="6"/>
      <c r="E584" s="6"/>
      <c r="F584" s="6"/>
    </row>
    <row r="585" spans="1:6" ht="15.75" customHeight="1" x14ac:dyDescent="0.25">
      <c r="A585" s="6"/>
      <c r="B585" s="6"/>
      <c r="C585" s="6"/>
      <c r="D585" s="6"/>
      <c r="E585" s="6"/>
      <c r="F585" s="6"/>
    </row>
    <row r="586" spans="1:6" ht="15.75" customHeight="1" x14ac:dyDescent="0.25">
      <c r="A586" s="6"/>
      <c r="B586" s="6"/>
      <c r="C586" s="6"/>
      <c r="D586" s="6"/>
      <c r="E586" s="6"/>
      <c r="F586" s="6"/>
    </row>
    <row r="587" spans="1:6" ht="15.75" customHeight="1" x14ac:dyDescent="0.25">
      <c r="A587" s="6"/>
      <c r="B587" s="6"/>
      <c r="C587" s="6"/>
      <c r="D587" s="6"/>
      <c r="E587" s="6"/>
      <c r="F587" s="6"/>
    </row>
    <row r="588" spans="1:6" ht="15.75" customHeight="1" x14ac:dyDescent="0.25">
      <c r="A588" s="6"/>
      <c r="B588" s="6"/>
      <c r="C588" s="6"/>
      <c r="D588" s="6"/>
      <c r="E588" s="6"/>
      <c r="F588" s="6"/>
    </row>
    <row r="589" spans="1:6" ht="15.75" customHeight="1" x14ac:dyDescent="0.25">
      <c r="A589" s="6"/>
      <c r="B589" s="6"/>
      <c r="C589" s="6"/>
      <c r="D589" s="6"/>
      <c r="E589" s="6"/>
      <c r="F589" s="6"/>
    </row>
    <row r="590" spans="1:6" ht="15.75" customHeight="1" x14ac:dyDescent="0.25">
      <c r="A590" s="6"/>
      <c r="B590" s="6"/>
      <c r="C590" s="6"/>
      <c r="D590" s="6"/>
      <c r="E590" s="6"/>
      <c r="F590" s="6"/>
    </row>
    <row r="591" spans="1:6" ht="15.75" customHeight="1" x14ac:dyDescent="0.25">
      <c r="A591" s="6"/>
      <c r="B591" s="6"/>
      <c r="C591" s="6"/>
      <c r="D591" s="6"/>
      <c r="E591" s="6"/>
      <c r="F591" s="6"/>
    </row>
    <row r="592" spans="1:6" ht="15.75" customHeight="1" x14ac:dyDescent="0.25">
      <c r="A592" s="6"/>
      <c r="B592" s="6"/>
      <c r="C592" s="6"/>
      <c r="D592" s="6"/>
      <c r="E592" s="6"/>
      <c r="F592" s="6"/>
    </row>
    <row r="593" spans="1:6" ht="15.75" customHeight="1" x14ac:dyDescent="0.25">
      <c r="A593" s="6"/>
      <c r="B593" s="6"/>
      <c r="C593" s="6"/>
      <c r="D593" s="6"/>
      <c r="E593" s="6"/>
      <c r="F593" s="6"/>
    </row>
    <row r="594" spans="1:6" ht="15.75" customHeight="1" x14ac:dyDescent="0.25">
      <c r="A594" s="6"/>
      <c r="B594" s="6"/>
      <c r="C594" s="6"/>
      <c r="D594" s="6"/>
      <c r="E594" s="6"/>
      <c r="F594" s="6"/>
    </row>
    <row r="595" spans="1:6" ht="15.75" customHeight="1" x14ac:dyDescent="0.25">
      <c r="A595" s="6"/>
      <c r="B595" s="6"/>
      <c r="C595" s="6"/>
      <c r="D595" s="6"/>
      <c r="E595" s="6"/>
      <c r="F595" s="6"/>
    </row>
    <row r="596" spans="1:6" ht="15.75" customHeight="1" x14ac:dyDescent="0.25">
      <c r="A596" s="6"/>
      <c r="B596" s="6"/>
      <c r="C596" s="6"/>
      <c r="D596" s="6"/>
      <c r="E596" s="6"/>
      <c r="F596" s="6"/>
    </row>
    <row r="597" spans="1:6" ht="15.75" customHeight="1" x14ac:dyDescent="0.25">
      <c r="A597" s="6"/>
      <c r="B597" s="6"/>
      <c r="C597" s="6"/>
      <c r="D597" s="6"/>
      <c r="E597" s="6"/>
      <c r="F597" s="6"/>
    </row>
    <row r="598" spans="1:6" ht="15.75" customHeight="1" x14ac:dyDescent="0.25">
      <c r="A598" s="6"/>
      <c r="B598" s="6"/>
      <c r="C598" s="6"/>
      <c r="D598" s="6"/>
      <c r="E598" s="6"/>
      <c r="F598" s="6"/>
    </row>
    <row r="599" spans="1:6" ht="15.75" customHeight="1" x14ac:dyDescent="0.25">
      <c r="A599" s="6"/>
      <c r="B599" s="6"/>
      <c r="C599" s="6"/>
      <c r="D599" s="6"/>
      <c r="E599" s="6"/>
      <c r="F599" s="6"/>
    </row>
    <row r="600" spans="1:6" ht="15.75" customHeight="1" x14ac:dyDescent="0.25">
      <c r="A600" s="6"/>
      <c r="B600" s="6"/>
      <c r="C600" s="6"/>
      <c r="D600" s="6"/>
      <c r="E600" s="6"/>
      <c r="F600" s="6"/>
    </row>
    <row r="601" spans="1:6" ht="15.75" customHeight="1" x14ac:dyDescent="0.25">
      <c r="A601" s="6"/>
      <c r="B601" s="6"/>
      <c r="C601" s="6"/>
      <c r="D601" s="6"/>
      <c r="E601" s="6"/>
      <c r="F601" s="6"/>
    </row>
    <row r="602" spans="1:6" ht="15.75" customHeight="1" x14ac:dyDescent="0.25">
      <c r="A602" s="6"/>
      <c r="B602" s="6"/>
      <c r="C602" s="6"/>
      <c r="D602" s="6"/>
      <c r="E602" s="6"/>
      <c r="F602" s="6"/>
    </row>
    <row r="603" spans="1:6" ht="15.75" customHeight="1" x14ac:dyDescent="0.25">
      <c r="A603" s="6"/>
      <c r="B603" s="6"/>
      <c r="C603" s="6"/>
      <c r="D603" s="6"/>
      <c r="E603" s="6"/>
      <c r="F603" s="6"/>
    </row>
    <row r="604" spans="1:6" ht="15.75" customHeight="1" x14ac:dyDescent="0.25">
      <c r="A604" s="6"/>
      <c r="B604" s="6"/>
      <c r="C604" s="6"/>
      <c r="D604" s="6"/>
      <c r="E604" s="6"/>
      <c r="F604" s="6"/>
    </row>
    <row r="605" spans="1:6" ht="15.75" customHeight="1" x14ac:dyDescent="0.25">
      <c r="A605" s="6"/>
      <c r="B605" s="6"/>
      <c r="C605" s="6"/>
      <c r="D605" s="6"/>
      <c r="E605" s="6"/>
      <c r="F605" s="6"/>
    </row>
    <row r="606" spans="1:6" ht="15.75" customHeight="1" x14ac:dyDescent="0.25">
      <c r="A606" s="6"/>
      <c r="B606" s="6"/>
      <c r="C606" s="6"/>
      <c r="D606" s="6"/>
      <c r="E606" s="6"/>
      <c r="F606" s="6"/>
    </row>
    <row r="607" spans="1:6" ht="15.75" customHeight="1" x14ac:dyDescent="0.25">
      <c r="A607" s="6"/>
      <c r="B607" s="6"/>
      <c r="C607" s="6"/>
      <c r="D607" s="6"/>
      <c r="E607" s="6"/>
      <c r="F607" s="6"/>
    </row>
    <row r="608" spans="1:6" ht="15.75" customHeight="1" x14ac:dyDescent="0.25">
      <c r="A608" s="6"/>
      <c r="B608" s="6"/>
      <c r="C608" s="6"/>
      <c r="D608" s="6"/>
      <c r="E608" s="6"/>
      <c r="F608" s="6"/>
    </row>
    <row r="609" spans="1:6" ht="15.75" customHeight="1" x14ac:dyDescent="0.25">
      <c r="A609" s="6"/>
      <c r="B609" s="6"/>
      <c r="C609" s="6"/>
      <c r="D609" s="6"/>
      <c r="E609" s="6"/>
      <c r="F609" s="6"/>
    </row>
    <row r="610" spans="1:6" ht="15.75" customHeight="1" x14ac:dyDescent="0.25">
      <c r="A610" s="6"/>
      <c r="B610" s="6"/>
      <c r="C610" s="6"/>
      <c r="D610" s="6"/>
      <c r="E610" s="6"/>
      <c r="F610" s="6"/>
    </row>
    <row r="611" spans="1:6" ht="15.75" customHeight="1" x14ac:dyDescent="0.25">
      <c r="A611" s="6"/>
      <c r="B611" s="6"/>
      <c r="C611" s="6"/>
      <c r="D611" s="6"/>
      <c r="E611" s="6"/>
      <c r="F611" s="6"/>
    </row>
    <row r="612" spans="1:6" ht="15.75" customHeight="1" x14ac:dyDescent="0.25">
      <c r="A612" s="6"/>
      <c r="B612" s="6"/>
      <c r="C612" s="6"/>
      <c r="D612" s="6"/>
      <c r="E612" s="6"/>
      <c r="F612" s="6"/>
    </row>
    <row r="613" spans="1:6" ht="15.75" customHeight="1" x14ac:dyDescent="0.25">
      <c r="A613" s="6"/>
      <c r="B613" s="6"/>
      <c r="C613" s="6"/>
      <c r="D613" s="6"/>
      <c r="E613" s="6"/>
      <c r="F613" s="6"/>
    </row>
    <row r="614" spans="1:6" ht="15.75" customHeight="1" x14ac:dyDescent="0.25">
      <c r="A614" s="6"/>
      <c r="B614" s="6"/>
      <c r="C614" s="6"/>
      <c r="D614" s="6"/>
      <c r="E614" s="6"/>
      <c r="F614" s="6"/>
    </row>
    <row r="615" spans="1:6" ht="15.75" customHeight="1" x14ac:dyDescent="0.25">
      <c r="A615" s="6"/>
      <c r="B615" s="6"/>
      <c r="C615" s="6"/>
      <c r="D615" s="6"/>
      <c r="E615" s="6"/>
      <c r="F615" s="6"/>
    </row>
    <row r="616" spans="1:6" ht="15.75" customHeight="1" x14ac:dyDescent="0.25">
      <c r="A616" s="6"/>
      <c r="B616" s="6"/>
      <c r="C616" s="6"/>
      <c r="D616" s="6"/>
      <c r="E616" s="6"/>
      <c r="F616" s="6"/>
    </row>
    <row r="617" spans="1:6" ht="15.75" customHeight="1" x14ac:dyDescent="0.25">
      <c r="A617" s="6"/>
      <c r="B617" s="6"/>
      <c r="C617" s="6"/>
      <c r="D617" s="6"/>
      <c r="E617" s="6"/>
      <c r="F617" s="6"/>
    </row>
    <row r="618" spans="1:6" ht="15.75" customHeight="1" x14ac:dyDescent="0.25">
      <c r="A618" s="6"/>
      <c r="B618" s="6"/>
      <c r="C618" s="6"/>
      <c r="D618" s="6"/>
      <c r="E618" s="6"/>
      <c r="F618" s="6"/>
    </row>
    <row r="619" spans="1:6" ht="15.75" customHeight="1" x14ac:dyDescent="0.25">
      <c r="A619" s="6"/>
      <c r="B619" s="6"/>
      <c r="C619" s="6"/>
      <c r="D619" s="6"/>
      <c r="E619" s="6"/>
      <c r="F619" s="6"/>
    </row>
    <row r="620" spans="1:6" ht="15.75" customHeight="1" x14ac:dyDescent="0.25">
      <c r="A620" s="6"/>
      <c r="B620" s="6"/>
      <c r="C620" s="6"/>
      <c r="D620" s="6"/>
      <c r="E620" s="6"/>
      <c r="F620" s="6"/>
    </row>
    <row r="621" spans="1:6" ht="15.75" customHeight="1" x14ac:dyDescent="0.25">
      <c r="A621" s="6"/>
      <c r="B621" s="6"/>
      <c r="C621" s="6"/>
      <c r="D621" s="6"/>
      <c r="E621" s="6"/>
      <c r="F621" s="6"/>
    </row>
    <row r="622" spans="1:6" ht="15.75" customHeight="1" x14ac:dyDescent="0.25">
      <c r="A622" s="6"/>
      <c r="B622" s="6"/>
      <c r="C622" s="6"/>
      <c r="D622" s="6"/>
      <c r="E622" s="6"/>
      <c r="F622" s="6"/>
    </row>
    <row r="623" spans="1:6" ht="15.75" customHeight="1" x14ac:dyDescent="0.25">
      <c r="A623" s="6"/>
      <c r="B623" s="6"/>
      <c r="C623" s="6"/>
      <c r="D623" s="6"/>
      <c r="E623" s="6"/>
      <c r="F623" s="6"/>
    </row>
    <row r="624" spans="1:6" ht="15.75" customHeight="1" x14ac:dyDescent="0.25">
      <c r="A624" s="6"/>
      <c r="B624" s="6"/>
      <c r="C624" s="6"/>
      <c r="D624" s="6"/>
      <c r="E624" s="6"/>
      <c r="F624" s="6"/>
    </row>
    <row r="625" spans="1:6" ht="15.75" customHeight="1" x14ac:dyDescent="0.25">
      <c r="A625" s="6"/>
      <c r="B625" s="6"/>
      <c r="C625" s="6"/>
      <c r="D625" s="6"/>
      <c r="E625" s="6"/>
      <c r="F625" s="6"/>
    </row>
    <row r="626" spans="1:6" ht="15.75" customHeight="1" x14ac:dyDescent="0.25">
      <c r="A626" s="6"/>
      <c r="B626" s="6"/>
      <c r="C626" s="6"/>
      <c r="D626" s="6"/>
      <c r="E626" s="6"/>
      <c r="F626" s="6"/>
    </row>
    <row r="627" spans="1:6" ht="15.75" customHeight="1" x14ac:dyDescent="0.25">
      <c r="A627" s="6"/>
      <c r="B627" s="6"/>
      <c r="C627" s="6"/>
      <c r="D627" s="6"/>
      <c r="E627" s="6"/>
      <c r="F627" s="6"/>
    </row>
    <row r="628" spans="1:6" ht="15.75" customHeight="1" x14ac:dyDescent="0.25">
      <c r="A628" s="6"/>
      <c r="B628" s="6"/>
      <c r="C628" s="6"/>
      <c r="D628" s="6"/>
      <c r="E628" s="6"/>
      <c r="F628" s="6"/>
    </row>
    <row r="629" spans="1:6" ht="15.75" customHeight="1" x14ac:dyDescent="0.25">
      <c r="A629" s="6"/>
      <c r="B629" s="6"/>
      <c r="C629" s="6"/>
      <c r="D629" s="6"/>
      <c r="E629" s="6"/>
      <c r="F629" s="6"/>
    </row>
    <row r="630" spans="1:6" ht="15.75" customHeight="1" x14ac:dyDescent="0.25">
      <c r="A630" s="6"/>
      <c r="B630" s="6"/>
      <c r="C630" s="6"/>
      <c r="D630" s="6"/>
      <c r="E630" s="6"/>
      <c r="F630" s="6"/>
    </row>
    <row r="631" spans="1:6" ht="15.75" customHeight="1" x14ac:dyDescent="0.25">
      <c r="A631" s="6"/>
      <c r="B631" s="6"/>
      <c r="C631" s="6"/>
      <c r="D631" s="6"/>
      <c r="E631" s="6"/>
      <c r="F631" s="6"/>
    </row>
    <row r="632" spans="1:6" ht="15.75" customHeight="1" x14ac:dyDescent="0.25">
      <c r="A632" s="6"/>
      <c r="B632" s="6"/>
      <c r="C632" s="6"/>
      <c r="D632" s="6"/>
      <c r="E632" s="6"/>
      <c r="F632" s="6"/>
    </row>
    <row r="633" spans="1:6" ht="15.75" customHeight="1" x14ac:dyDescent="0.25">
      <c r="A633" s="6"/>
      <c r="B633" s="6"/>
      <c r="C633" s="6"/>
      <c r="D633" s="6"/>
      <c r="E633" s="6"/>
      <c r="F633" s="6"/>
    </row>
    <row r="634" spans="1:6" ht="15.75" customHeight="1" x14ac:dyDescent="0.25">
      <c r="A634" s="6"/>
      <c r="B634" s="6"/>
      <c r="C634" s="6"/>
      <c r="D634" s="6"/>
      <c r="E634" s="6"/>
      <c r="F634" s="6"/>
    </row>
    <row r="635" spans="1:6" ht="15.75" customHeight="1" x14ac:dyDescent="0.25">
      <c r="A635" s="6"/>
      <c r="B635" s="6"/>
      <c r="C635" s="6"/>
      <c r="D635" s="6"/>
      <c r="E635" s="6"/>
      <c r="F635" s="6"/>
    </row>
    <row r="636" spans="1:6" ht="15.75" customHeight="1" x14ac:dyDescent="0.25">
      <c r="A636" s="6"/>
      <c r="B636" s="6"/>
      <c r="C636" s="6"/>
      <c r="D636" s="6"/>
      <c r="E636" s="6"/>
      <c r="F636" s="6"/>
    </row>
    <row r="637" spans="1:6" ht="15.75" customHeight="1" x14ac:dyDescent="0.25">
      <c r="A637" s="6"/>
      <c r="B637" s="6"/>
      <c r="C637" s="6"/>
      <c r="D637" s="6"/>
      <c r="E637" s="6"/>
      <c r="F637" s="6"/>
    </row>
    <row r="638" spans="1:6" ht="15.75" customHeight="1" x14ac:dyDescent="0.25">
      <c r="A638" s="6"/>
      <c r="B638" s="6"/>
      <c r="C638" s="6"/>
      <c r="D638" s="6"/>
      <c r="E638" s="6"/>
      <c r="F638" s="6"/>
    </row>
    <row r="639" spans="1:6" ht="15.75" customHeight="1" x14ac:dyDescent="0.25">
      <c r="A639" s="6"/>
      <c r="B639" s="6"/>
      <c r="C639" s="6"/>
      <c r="D639" s="6"/>
      <c r="E639" s="6"/>
      <c r="F639" s="6"/>
    </row>
    <row r="640" spans="1:6" ht="15.75" customHeight="1" x14ac:dyDescent="0.25">
      <c r="A640" s="6"/>
      <c r="B640" s="6"/>
      <c r="C640" s="6"/>
      <c r="D640" s="6"/>
      <c r="E640" s="6"/>
      <c r="F640" s="6"/>
    </row>
    <row r="641" spans="1:6" ht="15.75" customHeight="1" x14ac:dyDescent="0.25">
      <c r="A641" s="6"/>
      <c r="B641" s="6"/>
      <c r="C641" s="6"/>
      <c r="D641" s="6"/>
      <c r="E641" s="6"/>
      <c r="F641" s="6"/>
    </row>
    <row r="642" spans="1:6" ht="15.75" customHeight="1" x14ac:dyDescent="0.25">
      <c r="A642" s="6"/>
      <c r="B642" s="6"/>
      <c r="C642" s="6"/>
      <c r="D642" s="6"/>
      <c r="E642" s="6"/>
      <c r="F642" s="6"/>
    </row>
    <row r="643" spans="1:6" ht="15.75" customHeight="1" x14ac:dyDescent="0.25">
      <c r="A643" s="6"/>
      <c r="B643" s="6"/>
      <c r="C643" s="6"/>
      <c r="D643" s="6"/>
      <c r="E643" s="6"/>
      <c r="F643" s="6"/>
    </row>
    <row r="644" spans="1:6" ht="15.75" customHeight="1" x14ac:dyDescent="0.25">
      <c r="A644" s="6"/>
      <c r="B644" s="6"/>
      <c r="C644" s="6"/>
      <c r="D644" s="6"/>
      <c r="E644" s="6"/>
      <c r="F644" s="6"/>
    </row>
    <row r="645" spans="1:6" ht="15.75" customHeight="1" x14ac:dyDescent="0.25">
      <c r="A645" s="6"/>
      <c r="B645" s="6"/>
      <c r="C645" s="6"/>
      <c r="D645" s="6"/>
      <c r="E645" s="6"/>
      <c r="F645" s="6"/>
    </row>
    <row r="646" spans="1:6" ht="15.75" customHeight="1" x14ac:dyDescent="0.25">
      <c r="A646" s="6"/>
      <c r="B646" s="6"/>
      <c r="C646" s="6"/>
      <c r="D646" s="6"/>
      <c r="E646" s="6"/>
      <c r="F646" s="6"/>
    </row>
    <row r="647" spans="1:6" ht="15.75" customHeight="1" x14ac:dyDescent="0.25">
      <c r="A647" s="6"/>
      <c r="B647" s="6"/>
      <c r="C647" s="6"/>
      <c r="D647" s="6"/>
      <c r="E647" s="6"/>
      <c r="F647" s="6"/>
    </row>
    <row r="648" spans="1:6" ht="15.75" customHeight="1" x14ac:dyDescent="0.25">
      <c r="A648" s="6"/>
      <c r="B648" s="6"/>
      <c r="C648" s="6"/>
      <c r="D648" s="6"/>
      <c r="E648" s="6"/>
      <c r="F648" s="6"/>
    </row>
    <row r="649" spans="1:6" ht="15.75" customHeight="1" x14ac:dyDescent="0.25">
      <c r="A649" s="6"/>
      <c r="B649" s="6"/>
      <c r="C649" s="6"/>
      <c r="D649" s="6"/>
      <c r="E649" s="6"/>
      <c r="F649" s="6"/>
    </row>
    <row r="650" spans="1:6" ht="15.75" customHeight="1" x14ac:dyDescent="0.25">
      <c r="A650" s="6"/>
      <c r="B650" s="6"/>
      <c r="C650" s="6"/>
      <c r="D650" s="6"/>
      <c r="E650" s="6"/>
      <c r="F650" s="6"/>
    </row>
    <row r="651" spans="1:6" ht="15.75" customHeight="1" x14ac:dyDescent="0.25">
      <c r="A651" s="6"/>
      <c r="B651" s="6"/>
      <c r="C651" s="6"/>
      <c r="D651" s="6"/>
      <c r="E651" s="6"/>
      <c r="F651" s="6"/>
    </row>
    <row r="652" spans="1:6" ht="15.75" customHeight="1" x14ac:dyDescent="0.25">
      <c r="A652" s="6"/>
      <c r="B652" s="6"/>
      <c r="C652" s="6"/>
      <c r="D652" s="6"/>
      <c r="E652" s="6"/>
      <c r="F652" s="6"/>
    </row>
    <row r="653" spans="1:6" ht="15.75" customHeight="1" x14ac:dyDescent="0.25">
      <c r="A653" s="6"/>
      <c r="B653" s="6"/>
      <c r="C653" s="6"/>
      <c r="D653" s="6"/>
      <c r="E653" s="6"/>
      <c r="F653" s="6"/>
    </row>
    <row r="654" spans="1:6" ht="15.75" customHeight="1" x14ac:dyDescent="0.25">
      <c r="A654" s="6"/>
      <c r="B654" s="6"/>
      <c r="C654" s="6"/>
      <c r="D654" s="6"/>
      <c r="E654" s="6"/>
      <c r="F654" s="6"/>
    </row>
    <row r="655" spans="1:6" ht="15.75" customHeight="1" x14ac:dyDescent="0.25">
      <c r="A655" s="6"/>
      <c r="B655" s="6"/>
      <c r="C655" s="6"/>
      <c r="D655" s="6"/>
      <c r="E655" s="6"/>
      <c r="F655" s="6"/>
    </row>
    <row r="656" spans="1:6" ht="15.75" customHeight="1" x14ac:dyDescent="0.25">
      <c r="A656" s="6"/>
      <c r="B656" s="6"/>
      <c r="C656" s="6"/>
      <c r="D656" s="6"/>
      <c r="E656" s="6"/>
      <c r="F656" s="6"/>
    </row>
    <row r="657" spans="1:6" ht="15.75" customHeight="1" x14ac:dyDescent="0.25">
      <c r="A657" s="6"/>
      <c r="B657" s="6"/>
      <c r="C657" s="6"/>
      <c r="D657" s="6"/>
      <c r="E657" s="6"/>
      <c r="F657" s="6"/>
    </row>
    <row r="658" spans="1:6" ht="15.75" customHeight="1" x14ac:dyDescent="0.25">
      <c r="A658" s="6"/>
      <c r="B658" s="6"/>
      <c r="C658" s="6"/>
      <c r="D658" s="6"/>
      <c r="E658" s="6"/>
      <c r="F658" s="6"/>
    </row>
    <row r="659" spans="1:6" ht="15.75" customHeight="1" x14ac:dyDescent="0.25">
      <c r="A659" s="6"/>
      <c r="B659" s="6"/>
      <c r="C659" s="6"/>
      <c r="D659" s="6"/>
      <c r="E659" s="6"/>
      <c r="F659" s="6"/>
    </row>
    <row r="660" spans="1:6" ht="15.75" customHeight="1" x14ac:dyDescent="0.25">
      <c r="A660" s="6"/>
      <c r="B660" s="6"/>
      <c r="C660" s="6"/>
      <c r="D660" s="6"/>
      <c r="E660" s="6"/>
      <c r="F660" s="6"/>
    </row>
    <row r="661" spans="1:6" ht="15.75" customHeight="1" x14ac:dyDescent="0.25">
      <c r="A661" s="6"/>
      <c r="B661" s="6"/>
      <c r="C661" s="6"/>
      <c r="D661" s="6"/>
      <c r="E661" s="6"/>
      <c r="F661" s="6"/>
    </row>
    <row r="662" spans="1:6" ht="15.75" customHeight="1" x14ac:dyDescent="0.25">
      <c r="A662" s="6"/>
      <c r="B662" s="6"/>
      <c r="C662" s="6"/>
      <c r="D662" s="6"/>
      <c r="E662" s="6"/>
      <c r="F662" s="6"/>
    </row>
    <row r="663" spans="1:6" ht="15.75" customHeight="1" x14ac:dyDescent="0.25">
      <c r="A663" s="6"/>
      <c r="B663" s="6"/>
      <c r="C663" s="6"/>
      <c r="D663" s="6"/>
      <c r="E663" s="6"/>
      <c r="F663" s="6"/>
    </row>
    <row r="664" spans="1:6" ht="15.75" customHeight="1" x14ac:dyDescent="0.25">
      <c r="A664" s="6"/>
      <c r="B664" s="6"/>
      <c r="C664" s="6"/>
      <c r="D664" s="6"/>
      <c r="E664" s="6"/>
      <c r="F664" s="6"/>
    </row>
    <row r="665" spans="1:6" ht="15.75" customHeight="1" x14ac:dyDescent="0.25">
      <c r="A665" s="6"/>
      <c r="B665" s="6"/>
      <c r="C665" s="6"/>
      <c r="D665" s="6"/>
      <c r="E665" s="6"/>
      <c r="F665" s="6"/>
    </row>
    <row r="666" spans="1:6" ht="15.75" customHeight="1" x14ac:dyDescent="0.25">
      <c r="A666" s="6"/>
      <c r="B666" s="6"/>
      <c r="C666" s="6"/>
      <c r="D666" s="6"/>
      <c r="E666" s="6"/>
      <c r="F666" s="6"/>
    </row>
    <row r="667" spans="1:6" ht="15.75" customHeight="1" x14ac:dyDescent="0.25">
      <c r="A667" s="6"/>
      <c r="B667" s="6"/>
      <c r="C667" s="6"/>
      <c r="D667" s="6"/>
      <c r="E667" s="6"/>
      <c r="F667" s="6"/>
    </row>
    <row r="668" spans="1:6" ht="15.75" customHeight="1" x14ac:dyDescent="0.25">
      <c r="A668" s="6"/>
      <c r="B668" s="6"/>
      <c r="C668" s="6"/>
      <c r="D668" s="6"/>
      <c r="E668" s="6"/>
      <c r="F668" s="6"/>
    </row>
    <row r="669" spans="1:6" ht="15.75" customHeight="1" x14ac:dyDescent="0.25">
      <c r="A669" s="6"/>
      <c r="B669" s="6"/>
      <c r="C669" s="6"/>
      <c r="D669" s="6"/>
      <c r="E669" s="6"/>
      <c r="F669" s="6"/>
    </row>
    <row r="670" spans="1:6" ht="15.75" customHeight="1" x14ac:dyDescent="0.25">
      <c r="A670" s="6"/>
      <c r="B670" s="6"/>
      <c r="C670" s="6"/>
      <c r="D670" s="6"/>
      <c r="E670" s="6"/>
      <c r="F670" s="6"/>
    </row>
    <row r="671" spans="1:6" ht="15.75" customHeight="1" x14ac:dyDescent="0.25">
      <c r="A671" s="6"/>
      <c r="B671" s="6"/>
      <c r="C671" s="6"/>
      <c r="D671" s="6"/>
      <c r="E671" s="6"/>
      <c r="F671" s="6"/>
    </row>
    <row r="672" spans="1:6" ht="15.75" customHeight="1" x14ac:dyDescent="0.25">
      <c r="A672" s="6"/>
      <c r="B672" s="6"/>
      <c r="C672" s="6"/>
      <c r="D672" s="6"/>
      <c r="E672" s="6"/>
      <c r="F672" s="6"/>
    </row>
    <row r="673" spans="1:6" ht="15.75" customHeight="1" x14ac:dyDescent="0.25">
      <c r="A673" s="6"/>
      <c r="B673" s="6"/>
      <c r="C673" s="6"/>
      <c r="D673" s="6"/>
      <c r="E673" s="6"/>
      <c r="F673" s="6"/>
    </row>
    <row r="674" spans="1:6" ht="15.75" customHeight="1" x14ac:dyDescent="0.25">
      <c r="A674" s="6"/>
      <c r="B674" s="6"/>
      <c r="C674" s="6"/>
      <c r="D674" s="6"/>
      <c r="E674" s="6"/>
      <c r="F674" s="6"/>
    </row>
    <row r="675" spans="1:6" ht="15.75" customHeight="1" x14ac:dyDescent="0.25">
      <c r="A675" s="6"/>
      <c r="B675" s="6"/>
      <c r="C675" s="6"/>
      <c r="D675" s="6"/>
      <c r="E675" s="6"/>
      <c r="F675" s="6"/>
    </row>
    <row r="676" spans="1:6" ht="15.75" customHeight="1" x14ac:dyDescent="0.25">
      <c r="A676" s="6"/>
      <c r="B676" s="6"/>
      <c r="C676" s="6"/>
      <c r="D676" s="6"/>
      <c r="E676" s="6"/>
      <c r="F676" s="6"/>
    </row>
    <row r="677" spans="1:6" ht="15.75" customHeight="1" x14ac:dyDescent="0.25">
      <c r="A677" s="6"/>
      <c r="B677" s="6"/>
      <c r="C677" s="6"/>
      <c r="D677" s="6"/>
      <c r="E677" s="6"/>
      <c r="F677" s="6"/>
    </row>
    <row r="678" spans="1:6" ht="15.75" customHeight="1" x14ac:dyDescent="0.25">
      <c r="A678" s="6"/>
      <c r="B678" s="6"/>
      <c r="C678" s="6"/>
      <c r="D678" s="6"/>
      <c r="E678" s="6"/>
      <c r="F678" s="6"/>
    </row>
    <row r="679" spans="1:6" ht="15.75" customHeight="1" x14ac:dyDescent="0.25">
      <c r="A679" s="6"/>
      <c r="B679" s="6"/>
      <c r="C679" s="6"/>
      <c r="D679" s="6"/>
      <c r="E679" s="6"/>
      <c r="F679" s="6"/>
    </row>
    <row r="680" spans="1:6" ht="15.75" customHeight="1" x14ac:dyDescent="0.25">
      <c r="A680" s="6"/>
      <c r="B680" s="6"/>
      <c r="C680" s="6"/>
      <c r="D680" s="6"/>
      <c r="E680" s="6"/>
      <c r="F680" s="6"/>
    </row>
    <row r="681" spans="1:6" ht="15.75" customHeight="1" x14ac:dyDescent="0.25">
      <c r="A681" s="6"/>
      <c r="B681" s="6"/>
      <c r="C681" s="6"/>
      <c r="D681" s="6"/>
      <c r="E681" s="6"/>
      <c r="F681" s="6"/>
    </row>
    <row r="682" spans="1:6" ht="15.75" customHeight="1" x14ac:dyDescent="0.25">
      <c r="A682" s="6"/>
      <c r="B682" s="6"/>
      <c r="C682" s="6"/>
      <c r="D682" s="6"/>
      <c r="E682" s="6"/>
      <c r="F682" s="6"/>
    </row>
    <row r="683" spans="1:6" ht="15.75" customHeight="1" x14ac:dyDescent="0.25">
      <c r="A683" s="6"/>
      <c r="B683" s="6"/>
      <c r="C683" s="6"/>
      <c r="D683" s="6"/>
      <c r="E683" s="6"/>
      <c r="F683" s="6"/>
    </row>
    <row r="684" spans="1:6" ht="15.75" customHeight="1" x14ac:dyDescent="0.25">
      <c r="A684" s="6"/>
      <c r="B684" s="6"/>
      <c r="C684" s="6"/>
      <c r="D684" s="6"/>
      <c r="E684" s="6"/>
      <c r="F684" s="6"/>
    </row>
    <row r="685" spans="1:6" ht="15.75" customHeight="1" x14ac:dyDescent="0.25">
      <c r="A685" s="6"/>
      <c r="B685" s="6"/>
      <c r="C685" s="6"/>
      <c r="D685" s="6"/>
      <c r="E685" s="6"/>
      <c r="F685" s="6"/>
    </row>
    <row r="686" spans="1:6" ht="15.75" customHeight="1" x14ac:dyDescent="0.25">
      <c r="A686" s="6"/>
      <c r="B686" s="6"/>
      <c r="C686" s="6"/>
      <c r="D686" s="6"/>
      <c r="E686" s="6"/>
      <c r="F686" s="6"/>
    </row>
    <row r="687" spans="1:6" ht="15.75" customHeight="1" x14ac:dyDescent="0.25">
      <c r="A687" s="6"/>
      <c r="B687" s="6"/>
      <c r="C687" s="6"/>
      <c r="D687" s="6"/>
      <c r="E687" s="6"/>
      <c r="F687" s="6"/>
    </row>
    <row r="688" spans="1:6" ht="15.75" customHeight="1" x14ac:dyDescent="0.25">
      <c r="A688" s="6"/>
      <c r="B688" s="6"/>
      <c r="C688" s="6"/>
      <c r="D688" s="6"/>
      <c r="E688" s="6"/>
      <c r="F688" s="6"/>
    </row>
    <row r="689" spans="1:6" ht="15.75" customHeight="1" x14ac:dyDescent="0.25">
      <c r="A689" s="6"/>
      <c r="B689" s="6"/>
      <c r="C689" s="6"/>
      <c r="D689" s="6"/>
      <c r="E689" s="6"/>
      <c r="F689" s="6"/>
    </row>
    <row r="690" spans="1:6" ht="15.75" customHeight="1" x14ac:dyDescent="0.25">
      <c r="A690" s="6"/>
      <c r="B690" s="6"/>
      <c r="C690" s="6"/>
      <c r="D690" s="6"/>
      <c r="E690" s="6"/>
      <c r="F690" s="6"/>
    </row>
    <row r="691" spans="1:6" ht="15.75" customHeight="1" x14ac:dyDescent="0.25">
      <c r="A691" s="6"/>
      <c r="B691" s="6"/>
      <c r="C691" s="6"/>
      <c r="D691" s="6"/>
      <c r="E691" s="6"/>
      <c r="F691" s="6"/>
    </row>
    <row r="692" spans="1:6" ht="15.75" customHeight="1" x14ac:dyDescent="0.25">
      <c r="A692" s="6"/>
      <c r="B692" s="6"/>
      <c r="C692" s="6"/>
      <c r="D692" s="6"/>
      <c r="E692" s="6"/>
      <c r="F692" s="6"/>
    </row>
    <row r="693" spans="1:6" ht="15.75" customHeight="1" x14ac:dyDescent="0.25">
      <c r="A693" s="6"/>
      <c r="B693" s="6"/>
      <c r="C693" s="6"/>
      <c r="D693" s="6"/>
      <c r="E693" s="6"/>
      <c r="F693" s="6"/>
    </row>
    <row r="694" spans="1:6" ht="15.75" customHeight="1" x14ac:dyDescent="0.25">
      <c r="A694" s="6"/>
      <c r="B694" s="6"/>
      <c r="C694" s="6"/>
      <c r="D694" s="6"/>
      <c r="E694" s="6"/>
      <c r="F694" s="6"/>
    </row>
    <row r="695" spans="1:6" ht="15.75" customHeight="1" x14ac:dyDescent="0.25">
      <c r="A695" s="6"/>
      <c r="B695" s="6"/>
      <c r="C695" s="6"/>
      <c r="D695" s="6"/>
      <c r="E695" s="6"/>
      <c r="F695" s="6"/>
    </row>
    <row r="696" spans="1:6" ht="15.75" customHeight="1" x14ac:dyDescent="0.25">
      <c r="A696" s="6"/>
      <c r="B696" s="6"/>
      <c r="C696" s="6"/>
      <c r="D696" s="6"/>
      <c r="E696" s="6"/>
      <c r="F696" s="6"/>
    </row>
    <row r="697" spans="1:6" ht="15.75" customHeight="1" x14ac:dyDescent="0.25">
      <c r="A697" s="6"/>
      <c r="B697" s="6"/>
      <c r="C697" s="6"/>
      <c r="D697" s="6"/>
      <c r="E697" s="6"/>
      <c r="F697" s="6"/>
    </row>
    <row r="698" spans="1:6" ht="15.75" customHeight="1" x14ac:dyDescent="0.25">
      <c r="A698" s="6"/>
      <c r="B698" s="6"/>
      <c r="C698" s="6"/>
      <c r="D698" s="6"/>
      <c r="E698" s="6"/>
      <c r="F698" s="6"/>
    </row>
    <row r="699" spans="1:6" ht="15.75" customHeight="1" x14ac:dyDescent="0.25">
      <c r="A699" s="6"/>
      <c r="B699" s="6"/>
      <c r="C699" s="6"/>
      <c r="D699" s="6"/>
      <c r="E699" s="6"/>
      <c r="F699" s="6"/>
    </row>
    <row r="700" spans="1:6" ht="15.75" customHeight="1" x14ac:dyDescent="0.25">
      <c r="A700" s="6"/>
      <c r="B700" s="6"/>
      <c r="C700" s="6"/>
      <c r="D700" s="6"/>
      <c r="E700" s="6"/>
      <c r="F700" s="6"/>
    </row>
    <row r="701" spans="1:6" ht="15.75" customHeight="1" x14ac:dyDescent="0.25">
      <c r="A701" s="6"/>
      <c r="B701" s="6"/>
      <c r="C701" s="6"/>
      <c r="D701" s="6"/>
      <c r="E701" s="6"/>
      <c r="F701" s="6"/>
    </row>
    <row r="702" spans="1:6" ht="15.75" customHeight="1" x14ac:dyDescent="0.25">
      <c r="A702" s="6"/>
      <c r="B702" s="6"/>
      <c r="C702" s="6"/>
      <c r="D702" s="6"/>
      <c r="E702" s="6"/>
      <c r="F702" s="6"/>
    </row>
    <row r="703" spans="1:6" ht="15.75" customHeight="1" x14ac:dyDescent="0.25">
      <c r="A703" s="6"/>
      <c r="B703" s="6"/>
      <c r="C703" s="6"/>
      <c r="D703" s="6"/>
      <c r="E703" s="6"/>
      <c r="F703" s="6"/>
    </row>
    <row r="704" spans="1:6" ht="15.75" customHeight="1" x14ac:dyDescent="0.25">
      <c r="A704" s="6"/>
      <c r="B704" s="6"/>
      <c r="C704" s="6"/>
      <c r="D704" s="6"/>
      <c r="E704" s="6"/>
      <c r="F704" s="6"/>
    </row>
    <row r="705" spans="1:6" ht="15.75" customHeight="1" x14ac:dyDescent="0.25">
      <c r="A705" s="6"/>
      <c r="B705" s="6"/>
      <c r="C705" s="6"/>
      <c r="D705" s="6"/>
      <c r="E705" s="6"/>
      <c r="F705" s="6"/>
    </row>
    <row r="706" spans="1:6" ht="15.75" customHeight="1" x14ac:dyDescent="0.25">
      <c r="A706" s="6"/>
      <c r="B706" s="6"/>
      <c r="C706" s="6"/>
      <c r="D706" s="6"/>
      <c r="E706" s="6"/>
      <c r="F706" s="6"/>
    </row>
    <row r="707" spans="1:6" ht="15.75" customHeight="1" x14ac:dyDescent="0.25">
      <c r="A707" s="6"/>
      <c r="B707" s="6"/>
      <c r="C707" s="6"/>
      <c r="D707" s="6"/>
      <c r="E707" s="6"/>
      <c r="F707" s="6"/>
    </row>
    <row r="708" spans="1:6" ht="15.75" customHeight="1" x14ac:dyDescent="0.25">
      <c r="A708" s="6"/>
      <c r="B708" s="6"/>
      <c r="C708" s="6"/>
      <c r="D708" s="6"/>
      <c r="E708" s="6"/>
      <c r="F708" s="6"/>
    </row>
    <row r="709" spans="1:6" ht="15.75" customHeight="1" x14ac:dyDescent="0.25">
      <c r="A709" s="6"/>
      <c r="B709" s="6"/>
      <c r="C709" s="6"/>
      <c r="D709" s="6"/>
      <c r="E709" s="6"/>
      <c r="F709" s="6"/>
    </row>
    <row r="710" spans="1:6" ht="15.75" customHeight="1" x14ac:dyDescent="0.25">
      <c r="A710" s="6"/>
      <c r="B710" s="6"/>
      <c r="C710" s="6"/>
      <c r="D710" s="6"/>
      <c r="E710" s="6"/>
      <c r="F710" s="6"/>
    </row>
    <row r="711" spans="1:6" ht="15.75" customHeight="1" x14ac:dyDescent="0.25">
      <c r="A711" s="6"/>
      <c r="B711" s="6"/>
      <c r="C711" s="6"/>
      <c r="D711" s="6"/>
      <c r="E711" s="6"/>
      <c r="F711" s="6"/>
    </row>
    <row r="712" spans="1:6" ht="15.75" customHeight="1" x14ac:dyDescent="0.25">
      <c r="A712" s="6"/>
      <c r="B712" s="6"/>
      <c r="C712" s="6"/>
      <c r="D712" s="6"/>
      <c r="E712" s="6"/>
      <c r="F712" s="6"/>
    </row>
    <row r="713" spans="1:6" ht="15.75" customHeight="1" x14ac:dyDescent="0.25">
      <c r="A713" s="6"/>
      <c r="B713" s="6"/>
      <c r="C713" s="6"/>
      <c r="D713" s="6"/>
      <c r="E713" s="6"/>
      <c r="F713" s="6"/>
    </row>
    <row r="714" spans="1:6" ht="15.75" customHeight="1" x14ac:dyDescent="0.25">
      <c r="A714" s="6"/>
      <c r="B714" s="6"/>
      <c r="C714" s="6"/>
      <c r="D714" s="6"/>
      <c r="E714" s="6"/>
      <c r="F714" s="6"/>
    </row>
    <row r="715" spans="1:6" ht="15.75" customHeight="1" x14ac:dyDescent="0.25">
      <c r="A715" s="6"/>
      <c r="B715" s="6"/>
      <c r="C715" s="6"/>
      <c r="D715" s="6"/>
      <c r="E715" s="6"/>
      <c r="F715" s="6"/>
    </row>
    <row r="716" spans="1:6" ht="15.75" customHeight="1" x14ac:dyDescent="0.25">
      <c r="A716" s="6"/>
      <c r="B716" s="6"/>
      <c r="C716" s="6"/>
      <c r="D716" s="6"/>
      <c r="E716" s="6"/>
      <c r="F716" s="6"/>
    </row>
    <row r="717" spans="1:6" ht="15.75" customHeight="1" x14ac:dyDescent="0.25">
      <c r="A717" s="6"/>
      <c r="B717" s="6"/>
      <c r="C717" s="6"/>
      <c r="D717" s="6"/>
      <c r="E717" s="6"/>
      <c r="F717" s="6"/>
    </row>
    <row r="718" spans="1:6" ht="15.75" customHeight="1" x14ac:dyDescent="0.25">
      <c r="A718" s="6"/>
      <c r="B718" s="6"/>
      <c r="C718" s="6"/>
      <c r="D718" s="6"/>
      <c r="E718" s="6"/>
      <c r="F718" s="6"/>
    </row>
    <row r="719" spans="1:6" ht="15.75" customHeight="1" x14ac:dyDescent="0.25">
      <c r="A719" s="6"/>
      <c r="B719" s="6"/>
      <c r="C719" s="6"/>
      <c r="D719" s="6"/>
      <c r="E719" s="6"/>
      <c r="F719" s="6"/>
    </row>
    <row r="720" spans="1:6" ht="15.75" customHeight="1" x14ac:dyDescent="0.25">
      <c r="A720" s="6"/>
      <c r="B720" s="6"/>
      <c r="C720" s="6"/>
      <c r="D720" s="6"/>
      <c r="E720" s="6"/>
      <c r="F720" s="6"/>
    </row>
    <row r="721" spans="1:6" ht="15.75" customHeight="1" x14ac:dyDescent="0.25">
      <c r="A721" s="6"/>
      <c r="B721" s="6"/>
      <c r="C721" s="6"/>
      <c r="D721" s="6"/>
      <c r="E721" s="6"/>
      <c r="F721" s="6"/>
    </row>
    <row r="722" spans="1:6" ht="15.75" customHeight="1" x14ac:dyDescent="0.25">
      <c r="A722" s="6"/>
      <c r="B722" s="6"/>
      <c r="C722" s="6"/>
      <c r="D722" s="6"/>
      <c r="E722" s="6"/>
      <c r="F722" s="6"/>
    </row>
    <row r="723" spans="1:6" ht="15.75" customHeight="1" x14ac:dyDescent="0.25">
      <c r="A723" s="6"/>
      <c r="B723" s="6"/>
      <c r="C723" s="6"/>
      <c r="D723" s="6"/>
      <c r="E723" s="6"/>
      <c r="F723" s="6"/>
    </row>
    <row r="724" spans="1:6" ht="15.75" customHeight="1" x14ac:dyDescent="0.25">
      <c r="A724" s="6"/>
      <c r="B724" s="6"/>
      <c r="C724" s="6"/>
      <c r="D724" s="6"/>
      <c r="E724" s="6"/>
      <c r="F724" s="6"/>
    </row>
    <row r="725" spans="1:6" ht="15.75" customHeight="1" x14ac:dyDescent="0.25">
      <c r="A725" s="6"/>
      <c r="B725" s="6"/>
      <c r="C725" s="6"/>
      <c r="D725" s="6"/>
      <c r="E725" s="6"/>
      <c r="F725" s="6"/>
    </row>
    <row r="726" spans="1:6" ht="15.75" customHeight="1" x14ac:dyDescent="0.25">
      <c r="A726" s="6"/>
      <c r="B726" s="6"/>
      <c r="C726" s="6"/>
      <c r="D726" s="6"/>
      <c r="E726" s="6"/>
      <c r="F726" s="6"/>
    </row>
    <row r="727" spans="1:6" ht="15.75" customHeight="1" x14ac:dyDescent="0.25">
      <c r="A727" s="6"/>
      <c r="B727" s="6"/>
      <c r="C727" s="6"/>
      <c r="D727" s="6"/>
      <c r="E727" s="6"/>
      <c r="F727" s="6"/>
    </row>
    <row r="728" spans="1:6" ht="15.75" customHeight="1" x14ac:dyDescent="0.25">
      <c r="A728" s="6"/>
      <c r="B728" s="6"/>
      <c r="C728" s="6"/>
      <c r="D728" s="6"/>
      <c r="E728" s="6"/>
      <c r="F728" s="6"/>
    </row>
    <row r="729" spans="1:6" ht="15.75" customHeight="1" x14ac:dyDescent="0.25">
      <c r="A729" s="6"/>
      <c r="B729" s="6"/>
      <c r="C729" s="6"/>
      <c r="D729" s="6"/>
      <c r="E729" s="6"/>
      <c r="F729" s="6"/>
    </row>
    <row r="730" spans="1:6" ht="15.75" customHeight="1" x14ac:dyDescent="0.25">
      <c r="A730" s="6"/>
      <c r="B730" s="6"/>
      <c r="C730" s="6"/>
      <c r="D730" s="6"/>
      <c r="E730" s="6"/>
      <c r="F730" s="6"/>
    </row>
    <row r="731" spans="1:6" ht="15.75" customHeight="1" x14ac:dyDescent="0.25">
      <c r="A731" s="6"/>
      <c r="B731" s="6"/>
      <c r="C731" s="6"/>
      <c r="D731" s="6"/>
      <c r="E731" s="6"/>
      <c r="F731" s="6"/>
    </row>
    <row r="732" spans="1:6" ht="15.75" customHeight="1" x14ac:dyDescent="0.25">
      <c r="A732" s="6"/>
      <c r="B732" s="6"/>
      <c r="C732" s="6"/>
      <c r="D732" s="6"/>
      <c r="E732" s="6"/>
      <c r="F732" s="6"/>
    </row>
    <row r="733" spans="1:6" ht="15.75" customHeight="1" x14ac:dyDescent="0.25">
      <c r="A733" s="6"/>
      <c r="B733" s="6"/>
      <c r="C733" s="6"/>
      <c r="D733" s="6"/>
      <c r="E733" s="6"/>
      <c r="F733" s="6"/>
    </row>
    <row r="734" spans="1:6" ht="15.75" customHeight="1" x14ac:dyDescent="0.25">
      <c r="A734" s="6"/>
      <c r="B734" s="6"/>
      <c r="C734" s="6"/>
      <c r="D734" s="6"/>
      <c r="E734" s="6"/>
      <c r="F734" s="6"/>
    </row>
    <row r="735" spans="1:6" ht="15.75" customHeight="1" x14ac:dyDescent="0.25">
      <c r="A735" s="6"/>
      <c r="B735" s="6"/>
      <c r="C735" s="6"/>
      <c r="D735" s="6"/>
      <c r="E735" s="6"/>
      <c r="F735" s="6"/>
    </row>
    <row r="736" spans="1:6" ht="15.75" customHeight="1" x14ac:dyDescent="0.25">
      <c r="A736" s="6"/>
      <c r="B736" s="6"/>
      <c r="C736" s="6"/>
      <c r="D736" s="6"/>
      <c r="E736" s="6"/>
      <c r="F736" s="6"/>
    </row>
    <row r="737" spans="1:6" ht="15.75" customHeight="1" x14ac:dyDescent="0.25">
      <c r="A737" s="6"/>
      <c r="B737" s="6"/>
      <c r="C737" s="6"/>
      <c r="D737" s="6"/>
      <c r="E737" s="6"/>
      <c r="F737" s="6"/>
    </row>
    <row r="738" spans="1:6" ht="15.75" customHeight="1" x14ac:dyDescent="0.25">
      <c r="A738" s="6"/>
      <c r="B738" s="6"/>
      <c r="C738" s="6"/>
      <c r="D738" s="6"/>
      <c r="E738" s="6"/>
      <c r="F738" s="6"/>
    </row>
    <row r="739" spans="1:6" ht="15.75" customHeight="1" x14ac:dyDescent="0.25">
      <c r="A739" s="6"/>
      <c r="B739" s="6"/>
      <c r="C739" s="6"/>
      <c r="D739" s="6"/>
      <c r="E739" s="6"/>
      <c r="F739" s="6"/>
    </row>
    <row r="740" spans="1:6" ht="15.75" customHeight="1" x14ac:dyDescent="0.25">
      <c r="A740" s="6"/>
      <c r="B740" s="6"/>
      <c r="C740" s="6"/>
      <c r="D740" s="6"/>
      <c r="E740" s="6"/>
      <c r="F740" s="6"/>
    </row>
    <row r="741" spans="1:6" ht="15.75" customHeight="1" x14ac:dyDescent="0.25">
      <c r="A741" s="6"/>
      <c r="B741" s="6"/>
      <c r="C741" s="6"/>
      <c r="D741" s="6"/>
      <c r="E741" s="6"/>
      <c r="F741" s="6"/>
    </row>
    <row r="742" spans="1:6" ht="15.75" customHeight="1" x14ac:dyDescent="0.25">
      <c r="A742" s="6"/>
      <c r="B742" s="6"/>
      <c r="C742" s="6"/>
      <c r="D742" s="6"/>
      <c r="E742" s="6"/>
      <c r="F742" s="6"/>
    </row>
    <row r="743" spans="1:6" ht="15.75" customHeight="1" x14ac:dyDescent="0.25">
      <c r="A743" s="6"/>
      <c r="B743" s="6"/>
      <c r="C743" s="6"/>
      <c r="D743" s="6"/>
      <c r="E743" s="6"/>
      <c r="F743" s="6"/>
    </row>
    <row r="744" spans="1:6" ht="15.75" customHeight="1" x14ac:dyDescent="0.25">
      <c r="A744" s="6"/>
      <c r="B744" s="6"/>
      <c r="C744" s="6"/>
      <c r="D744" s="6"/>
      <c r="E744" s="6"/>
      <c r="F744" s="6"/>
    </row>
    <row r="745" spans="1:6" ht="15.75" customHeight="1" x14ac:dyDescent="0.25">
      <c r="A745" s="6"/>
      <c r="B745" s="6"/>
      <c r="C745" s="6"/>
      <c r="D745" s="6"/>
      <c r="E745" s="6"/>
      <c r="F745" s="6"/>
    </row>
    <row r="746" spans="1:6" ht="15.75" customHeight="1" x14ac:dyDescent="0.25">
      <c r="A746" s="6"/>
      <c r="B746" s="6"/>
      <c r="C746" s="6"/>
      <c r="D746" s="6"/>
      <c r="E746" s="6"/>
      <c r="F746" s="6"/>
    </row>
    <row r="747" spans="1:6" ht="15.75" customHeight="1" x14ac:dyDescent="0.25">
      <c r="A747" s="6"/>
      <c r="B747" s="6"/>
      <c r="C747" s="6"/>
      <c r="D747" s="6"/>
      <c r="E747" s="6"/>
      <c r="F747" s="6"/>
    </row>
    <row r="748" spans="1:6" ht="15.75" customHeight="1" x14ac:dyDescent="0.25">
      <c r="A748" s="6"/>
      <c r="B748" s="6"/>
      <c r="C748" s="6"/>
      <c r="D748" s="6"/>
      <c r="E748" s="6"/>
      <c r="F748" s="6"/>
    </row>
    <row r="749" spans="1:6" ht="15.75" customHeight="1" x14ac:dyDescent="0.25">
      <c r="A749" s="6"/>
      <c r="B749" s="6"/>
      <c r="C749" s="6"/>
      <c r="D749" s="6"/>
      <c r="E749" s="6"/>
      <c r="F749" s="6"/>
    </row>
    <row r="750" spans="1:6" ht="15.75" customHeight="1" x14ac:dyDescent="0.25">
      <c r="A750" s="6"/>
      <c r="B750" s="6"/>
      <c r="C750" s="6"/>
      <c r="D750" s="6"/>
      <c r="E750" s="6"/>
      <c r="F750" s="6"/>
    </row>
    <row r="751" spans="1:6" ht="15.75" customHeight="1" x14ac:dyDescent="0.25">
      <c r="A751" s="6"/>
      <c r="B751" s="6"/>
      <c r="C751" s="6"/>
      <c r="D751" s="6"/>
      <c r="E751" s="6"/>
      <c r="F751" s="6"/>
    </row>
    <row r="752" spans="1:6" ht="15.75" customHeight="1" x14ac:dyDescent="0.25">
      <c r="A752" s="6"/>
      <c r="B752" s="6"/>
      <c r="C752" s="6"/>
      <c r="D752" s="6"/>
      <c r="E752" s="6"/>
      <c r="F752" s="6"/>
    </row>
    <row r="753" spans="1:6" ht="15.75" customHeight="1" x14ac:dyDescent="0.25">
      <c r="A753" s="6"/>
      <c r="B753" s="6"/>
      <c r="C753" s="6"/>
      <c r="D753" s="6"/>
      <c r="E753" s="6"/>
      <c r="F753" s="6"/>
    </row>
    <row r="754" spans="1:6" ht="15.75" customHeight="1" x14ac:dyDescent="0.25">
      <c r="A754" s="6"/>
      <c r="B754" s="6"/>
      <c r="C754" s="6"/>
      <c r="D754" s="6"/>
      <c r="E754" s="6"/>
      <c r="F754" s="6"/>
    </row>
    <row r="755" spans="1:6" ht="15.75" customHeight="1" x14ac:dyDescent="0.25">
      <c r="A755" s="6"/>
      <c r="B755" s="6"/>
      <c r="C755" s="6"/>
      <c r="D755" s="6"/>
      <c r="E755" s="6"/>
      <c r="F755" s="6"/>
    </row>
    <row r="756" spans="1:6" ht="15.75" customHeight="1" x14ac:dyDescent="0.25">
      <c r="A756" s="6"/>
      <c r="B756" s="6"/>
      <c r="C756" s="6"/>
      <c r="D756" s="6"/>
      <c r="E756" s="6"/>
      <c r="F756" s="6"/>
    </row>
    <row r="757" spans="1:6" ht="15.75" customHeight="1" x14ac:dyDescent="0.25">
      <c r="A757" s="6"/>
      <c r="B757" s="6"/>
      <c r="C757" s="6"/>
      <c r="D757" s="6"/>
      <c r="E757" s="6"/>
      <c r="F757" s="6"/>
    </row>
    <row r="758" spans="1:6" ht="15.75" customHeight="1" x14ac:dyDescent="0.25">
      <c r="A758" s="6"/>
      <c r="B758" s="6"/>
      <c r="C758" s="6"/>
      <c r="D758" s="6"/>
      <c r="E758" s="6"/>
      <c r="F758" s="6"/>
    </row>
    <row r="759" spans="1:6" ht="15.75" customHeight="1" x14ac:dyDescent="0.25">
      <c r="A759" s="6"/>
      <c r="B759" s="6"/>
      <c r="C759" s="6"/>
      <c r="D759" s="6"/>
      <c r="E759" s="6"/>
      <c r="F759" s="6"/>
    </row>
    <row r="760" spans="1:6" ht="15.75" customHeight="1" x14ac:dyDescent="0.25">
      <c r="A760" s="6"/>
      <c r="B760" s="6"/>
      <c r="C760" s="6"/>
      <c r="D760" s="6"/>
      <c r="E760" s="6"/>
      <c r="F760" s="6"/>
    </row>
    <row r="761" spans="1:6" ht="15.75" customHeight="1" x14ac:dyDescent="0.25">
      <c r="A761" s="6"/>
      <c r="B761" s="6"/>
      <c r="C761" s="6"/>
      <c r="D761" s="6"/>
      <c r="E761" s="6"/>
      <c r="F761" s="6"/>
    </row>
    <row r="762" spans="1:6" ht="15.75" customHeight="1" x14ac:dyDescent="0.25">
      <c r="A762" s="6"/>
      <c r="B762" s="6"/>
      <c r="C762" s="6"/>
      <c r="D762" s="6"/>
      <c r="E762" s="6"/>
      <c r="F762" s="6"/>
    </row>
    <row r="763" spans="1:6" ht="15.75" customHeight="1" x14ac:dyDescent="0.25">
      <c r="A763" s="6"/>
      <c r="B763" s="6"/>
      <c r="C763" s="6"/>
      <c r="D763" s="6"/>
      <c r="E763" s="6"/>
      <c r="F763" s="6"/>
    </row>
    <row r="764" spans="1:6" ht="15.75" customHeight="1" x14ac:dyDescent="0.25">
      <c r="A764" s="6"/>
      <c r="B764" s="6"/>
      <c r="C764" s="6"/>
      <c r="D764" s="6"/>
      <c r="E764" s="6"/>
      <c r="F764" s="6"/>
    </row>
    <row r="765" spans="1:6" ht="15.75" customHeight="1" x14ac:dyDescent="0.25">
      <c r="A765" s="6"/>
      <c r="B765" s="6"/>
      <c r="C765" s="6"/>
      <c r="D765" s="6"/>
      <c r="E765" s="6"/>
      <c r="F765" s="6"/>
    </row>
    <row r="766" spans="1:6" ht="15.75" customHeight="1" x14ac:dyDescent="0.25">
      <c r="A766" s="6"/>
      <c r="B766" s="6"/>
      <c r="C766" s="6"/>
      <c r="D766" s="6"/>
      <c r="E766" s="6"/>
      <c r="F766" s="6"/>
    </row>
    <row r="767" spans="1:6" ht="15.75" customHeight="1" x14ac:dyDescent="0.25">
      <c r="A767" s="6"/>
      <c r="B767" s="6"/>
      <c r="C767" s="6"/>
      <c r="D767" s="6"/>
      <c r="E767" s="6"/>
      <c r="F767" s="6"/>
    </row>
    <row r="768" spans="1:6" ht="15.75" customHeight="1" x14ac:dyDescent="0.25">
      <c r="A768" s="6"/>
      <c r="B768" s="6"/>
      <c r="C768" s="6"/>
      <c r="D768" s="6"/>
      <c r="E768" s="6"/>
      <c r="F768" s="6"/>
    </row>
    <row r="769" spans="1:6" ht="15.75" customHeight="1" x14ac:dyDescent="0.25">
      <c r="A769" s="6"/>
      <c r="B769" s="6"/>
      <c r="C769" s="6"/>
      <c r="D769" s="6"/>
      <c r="E769" s="6"/>
      <c r="F769" s="6"/>
    </row>
    <row r="770" spans="1:6" ht="15.75" customHeight="1" x14ac:dyDescent="0.25">
      <c r="A770" s="6"/>
      <c r="B770" s="6"/>
      <c r="C770" s="6"/>
      <c r="D770" s="6"/>
      <c r="E770" s="6"/>
      <c r="F770" s="6"/>
    </row>
    <row r="771" spans="1:6" ht="15.75" customHeight="1" x14ac:dyDescent="0.25">
      <c r="A771" s="6"/>
      <c r="B771" s="6"/>
      <c r="C771" s="6"/>
      <c r="D771" s="6"/>
      <c r="E771" s="6"/>
      <c r="F771" s="6"/>
    </row>
    <row r="772" spans="1:6" ht="15.75" customHeight="1" x14ac:dyDescent="0.25">
      <c r="A772" s="6"/>
      <c r="B772" s="6"/>
      <c r="C772" s="6"/>
      <c r="D772" s="6"/>
      <c r="E772" s="6"/>
      <c r="F772" s="6"/>
    </row>
    <row r="773" spans="1:6" ht="15.75" customHeight="1" x14ac:dyDescent="0.25">
      <c r="A773" s="6"/>
      <c r="B773" s="6"/>
      <c r="C773" s="6"/>
      <c r="D773" s="6"/>
      <c r="E773" s="6"/>
      <c r="F773" s="6"/>
    </row>
    <row r="774" spans="1:6" ht="15.75" customHeight="1" x14ac:dyDescent="0.25">
      <c r="A774" s="6"/>
      <c r="B774" s="6"/>
      <c r="C774" s="6"/>
      <c r="D774" s="6"/>
      <c r="E774" s="6"/>
      <c r="F774" s="6"/>
    </row>
    <row r="775" spans="1:6" ht="15.75" customHeight="1" x14ac:dyDescent="0.25">
      <c r="A775" s="6"/>
      <c r="B775" s="6"/>
      <c r="C775" s="6"/>
      <c r="D775" s="6"/>
      <c r="E775" s="6"/>
      <c r="F775" s="6"/>
    </row>
    <row r="776" spans="1:6" ht="15.75" customHeight="1" x14ac:dyDescent="0.25">
      <c r="A776" s="6"/>
      <c r="B776" s="6"/>
      <c r="C776" s="6"/>
      <c r="D776" s="6"/>
      <c r="E776" s="6"/>
      <c r="F776" s="6"/>
    </row>
    <row r="777" spans="1:6" ht="15.75" customHeight="1" x14ac:dyDescent="0.25">
      <c r="A777" s="6"/>
      <c r="B777" s="6"/>
      <c r="C777" s="6"/>
      <c r="D777" s="6"/>
      <c r="E777" s="6"/>
      <c r="F777" s="6"/>
    </row>
    <row r="778" spans="1:6" ht="15.75" customHeight="1" x14ac:dyDescent="0.25">
      <c r="A778" s="6"/>
      <c r="B778" s="6"/>
      <c r="C778" s="6"/>
      <c r="D778" s="6"/>
      <c r="E778" s="6"/>
      <c r="F778" s="6"/>
    </row>
    <row r="779" spans="1:6" ht="15.75" customHeight="1" x14ac:dyDescent="0.25">
      <c r="A779" s="6"/>
      <c r="B779" s="6"/>
      <c r="C779" s="6"/>
      <c r="D779" s="6"/>
      <c r="E779" s="6"/>
      <c r="F779" s="6"/>
    </row>
    <row r="780" spans="1:6" ht="15.75" customHeight="1" x14ac:dyDescent="0.25">
      <c r="A780" s="6"/>
      <c r="B780" s="6"/>
      <c r="C780" s="6"/>
      <c r="D780" s="6"/>
      <c r="E780" s="6"/>
      <c r="F780" s="6"/>
    </row>
    <row r="781" spans="1:6" ht="15.75" customHeight="1" x14ac:dyDescent="0.25">
      <c r="A781" s="6"/>
      <c r="B781" s="6"/>
      <c r="C781" s="6"/>
      <c r="D781" s="6"/>
      <c r="E781" s="6"/>
      <c r="F781" s="6"/>
    </row>
    <row r="782" spans="1:6" ht="15.75" customHeight="1" x14ac:dyDescent="0.25">
      <c r="A782" s="6"/>
      <c r="B782" s="6"/>
      <c r="C782" s="6"/>
      <c r="D782" s="6"/>
      <c r="E782" s="6"/>
      <c r="F782" s="6"/>
    </row>
    <row r="783" spans="1:6" ht="15.75" customHeight="1" x14ac:dyDescent="0.25">
      <c r="A783" s="6"/>
      <c r="B783" s="6"/>
      <c r="C783" s="6"/>
      <c r="D783" s="6"/>
      <c r="E783" s="6"/>
      <c r="F783" s="6"/>
    </row>
    <row r="784" spans="1:6" ht="15.75" customHeight="1" x14ac:dyDescent="0.25">
      <c r="A784" s="6"/>
      <c r="B784" s="6"/>
      <c r="C784" s="6"/>
      <c r="D784" s="6"/>
      <c r="E784" s="6"/>
      <c r="F784" s="6"/>
    </row>
    <row r="785" spans="1:6" ht="15.75" customHeight="1" x14ac:dyDescent="0.25">
      <c r="A785" s="6"/>
      <c r="B785" s="6"/>
      <c r="C785" s="6"/>
      <c r="D785" s="6"/>
      <c r="E785" s="6"/>
      <c r="F785" s="6"/>
    </row>
    <row r="786" spans="1:6" ht="15.75" customHeight="1" x14ac:dyDescent="0.25">
      <c r="A786" s="6"/>
      <c r="B786" s="6"/>
      <c r="C786" s="6"/>
      <c r="D786" s="6"/>
      <c r="E786" s="6"/>
      <c r="F786" s="6"/>
    </row>
    <row r="787" spans="1:6" ht="15.75" customHeight="1" x14ac:dyDescent="0.25">
      <c r="A787" s="6"/>
      <c r="B787" s="6"/>
      <c r="C787" s="6"/>
      <c r="D787" s="6"/>
      <c r="E787" s="6"/>
      <c r="F787" s="6"/>
    </row>
    <row r="788" spans="1:6" ht="15.75" customHeight="1" x14ac:dyDescent="0.25">
      <c r="A788" s="6"/>
      <c r="B788" s="6"/>
      <c r="C788" s="6"/>
      <c r="D788" s="6"/>
      <c r="E788" s="6"/>
      <c r="F788" s="6"/>
    </row>
    <row r="789" spans="1:6" ht="15.75" customHeight="1" x14ac:dyDescent="0.25">
      <c r="A789" s="6"/>
      <c r="B789" s="6"/>
      <c r="C789" s="6"/>
      <c r="D789" s="6"/>
      <c r="E789" s="6"/>
      <c r="F789" s="6"/>
    </row>
    <row r="790" spans="1:6" ht="15.75" customHeight="1" x14ac:dyDescent="0.25">
      <c r="A790" s="6"/>
      <c r="B790" s="6"/>
      <c r="C790" s="6"/>
      <c r="D790" s="6"/>
      <c r="E790" s="6"/>
      <c r="F790" s="6"/>
    </row>
    <row r="791" spans="1:6" ht="15.75" customHeight="1" x14ac:dyDescent="0.25">
      <c r="A791" s="6"/>
      <c r="B791" s="6"/>
      <c r="C791" s="6"/>
      <c r="D791" s="6"/>
      <c r="E791" s="6"/>
      <c r="F791" s="6"/>
    </row>
    <row r="792" spans="1:6" ht="15.75" customHeight="1" x14ac:dyDescent="0.25">
      <c r="A792" s="6"/>
      <c r="B792" s="6"/>
      <c r="C792" s="6"/>
      <c r="D792" s="6"/>
      <c r="E792" s="6"/>
      <c r="F792" s="6"/>
    </row>
    <row r="793" spans="1:6" ht="15.75" customHeight="1" x14ac:dyDescent="0.25">
      <c r="A793" s="6"/>
      <c r="B793" s="6"/>
      <c r="C793" s="6"/>
      <c r="D793" s="6"/>
      <c r="E793" s="6"/>
      <c r="F793" s="6"/>
    </row>
    <row r="794" spans="1:6" ht="15.75" customHeight="1" x14ac:dyDescent="0.25">
      <c r="A794" s="6"/>
      <c r="B794" s="6"/>
      <c r="C794" s="6"/>
      <c r="D794" s="6"/>
      <c r="E794" s="6"/>
      <c r="F794" s="6"/>
    </row>
    <row r="795" spans="1:6" ht="15.75" customHeight="1" x14ac:dyDescent="0.25">
      <c r="A795" s="6"/>
      <c r="B795" s="6"/>
      <c r="C795" s="6"/>
      <c r="D795" s="6"/>
      <c r="E795" s="6"/>
      <c r="F795" s="6"/>
    </row>
    <row r="796" spans="1:6" ht="15.75" customHeight="1" x14ac:dyDescent="0.25">
      <c r="A796" s="6"/>
      <c r="B796" s="6"/>
      <c r="C796" s="6"/>
      <c r="D796" s="6"/>
      <c r="E796" s="6"/>
      <c r="F796" s="6"/>
    </row>
    <row r="797" spans="1:6" ht="15.75" customHeight="1" x14ac:dyDescent="0.25">
      <c r="A797" s="6"/>
      <c r="B797" s="6"/>
      <c r="C797" s="6"/>
      <c r="D797" s="6"/>
      <c r="E797" s="6"/>
      <c r="F797" s="6"/>
    </row>
    <row r="798" spans="1:6" ht="15.75" customHeight="1" x14ac:dyDescent="0.25">
      <c r="A798" s="6"/>
      <c r="B798" s="6"/>
      <c r="C798" s="6"/>
      <c r="D798" s="6"/>
      <c r="E798" s="6"/>
      <c r="F798" s="6"/>
    </row>
    <row r="799" spans="1:6" ht="15.75" customHeight="1" x14ac:dyDescent="0.25">
      <c r="A799" s="6"/>
      <c r="B799" s="6"/>
      <c r="C799" s="6"/>
      <c r="D799" s="6"/>
      <c r="E799" s="6"/>
      <c r="F799" s="6"/>
    </row>
    <row r="800" spans="1:6" ht="15.75" customHeight="1" x14ac:dyDescent="0.25">
      <c r="A800" s="6"/>
      <c r="B800" s="6"/>
      <c r="C800" s="6"/>
      <c r="D800" s="6"/>
      <c r="E800" s="6"/>
      <c r="F800" s="6"/>
    </row>
    <row r="801" spans="1:6" ht="15.75" customHeight="1" x14ac:dyDescent="0.25">
      <c r="A801" s="6"/>
      <c r="B801" s="6"/>
      <c r="C801" s="6"/>
      <c r="D801" s="6"/>
      <c r="E801" s="6"/>
      <c r="F801" s="6"/>
    </row>
    <row r="802" spans="1:6" ht="15.75" customHeight="1" x14ac:dyDescent="0.25">
      <c r="A802" s="6"/>
      <c r="B802" s="6"/>
      <c r="C802" s="6"/>
      <c r="D802" s="6"/>
      <c r="E802" s="6"/>
      <c r="F802" s="6"/>
    </row>
    <row r="803" spans="1:6" ht="15.75" customHeight="1" x14ac:dyDescent="0.25">
      <c r="A803" s="6"/>
      <c r="B803" s="6"/>
      <c r="C803" s="6"/>
      <c r="D803" s="6"/>
      <c r="E803" s="6"/>
      <c r="F803" s="6"/>
    </row>
    <row r="804" spans="1:6" ht="15.75" customHeight="1" x14ac:dyDescent="0.25">
      <c r="A804" s="6"/>
      <c r="B804" s="6"/>
      <c r="C804" s="6"/>
      <c r="D804" s="6"/>
      <c r="E804" s="6"/>
      <c r="F804" s="6"/>
    </row>
    <row r="805" spans="1:6" ht="15.75" customHeight="1" x14ac:dyDescent="0.25">
      <c r="A805" s="6"/>
      <c r="B805" s="6"/>
      <c r="C805" s="6"/>
      <c r="D805" s="6"/>
      <c r="E805" s="6"/>
      <c r="F805" s="6"/>
    </row>
    <row r="806" spans="1:6" ht="15.75" customHeight="1" x14ac:dyDescent="0.25">
      <c r="A806" s="6"/>
      <c r="B806" s="6"/>
      <c r="C806" s="6"/>
      <c r="D806" s="6"/>
      <c r="E806" s="6"/>
      <c r="F806" s="6"/>
    </row>
    <row r="807" spans="1:6" ht="15.75" customHeight="1" x14ac:dyDescent="0.25">
      <c r="A807" s="6"/>
      <c r="B807" s="6"/>
      <c r="C807" s="6"/>
      <c r="D807" s="6"/>
      <c r="E807" s="6"/>
      <c r="F807" s="6"/>
    </row>
    <row r="808" spans="1:6" ht="15.75" customHeight="1" x14ac:dyDescent="0.25">
      <c r="A808" s="6"/>
      <c r="B808" s="6"/>
      <c r="C808" s="6"/>
      <c r="D808" s="6"/>
      <c r="E808" s="6"/>
      <c r="F808" s="6"/>
    </row>
    <row r="809" spans="1:6" ht="15.75" customHeight="1" x14ac:dyDescent="0.25">
      <c r="A809" s="6"/>
      <c r="B809" s="6"/>
      <c r="C809" s="6"/>
      <c r="D809" s="6"/>
      <c r="E809" s="6"/>
      <c r="F809" s="6"/>
    </row>
    <row r="810" spans="1:6" ht="15.75" customHeight="1" x14ac:dyDescent="0.25">
      <c r="A810" s="6"/>
      <c r="B810" s="6"/>
      <c r="C810" s="6"/>
      <c r="D810" s="6"/>
      <c r="E810" s="6"/>
      <c r="F810" s="6"/>
    </row>
    <row r="811" spans="1:6" ht="15.75" customHeight="1" x14ac:dyDescent="0.25">
      <c r="A811" s="6"/>
      <c r="B811" s="6"/>
      <c r="C811" s="6"/>
      <c r="D811" s="6"/>
      <c r="E811" s="6"/>
      <c r="F811" s="6"/>
    </row>
    <row r="812" spans="1:6" ht="15.75" customHeight="1" x14ac:dyDescent="0.25">
      <c r="A812" s="6"/>
      <c r="B812" s="6"/>
      <c r="C812" s="6"/>
      <c r="D812" s="6"/>
      <c r="E812" s="6"/>
      <c r="F812" s="6"/>
    </row>
    <row r="813" spans="1:6" ht="15.75" customHeight="1" x14ac:dyDescent="0.25">
      <c r="A813" s="6"/>
      <c r="B813" s="6"/>
      <c r="C813" s="6"/>
      <c r="D813" s="6"/>
      <c r="E813" s="6"/>
      <c r="F813" s="6"/>
    </row>
    <row r="814" spans="1:6" ht="15.75" customHeight="1" x14ac:dyDescent="0.25">
      <c r="A814" s="6"/>
      <c r="B814" s="6"/>
      <c r="C814" s="6"/>
      <c r="D814" s="6"/>
      <c r="E814" s="6"/>
      <c r="F814" s="6"/>
    </row>
    <row r="815" spans="1:6" ht="15.75" customHeight="1" x14ac:dyDescent="0.25">
      <c r="A815" s="6"/>
      <c r="B815" s="6"/>
      <c r="C815" s="6"/>
      <c r="D815" s="6"/>
      <c r="E815" s="6"/>
      <c r="F815" s="6"/>
    </row>
    <row r="816" spans="1:6" ht="15.75" customHeight="1" x14ac:dyDescent="0.25">
      <c r="A816" s="6"/>
      <c r="B816" s="6"/>
      <c r="C816" s="6"/>
      <c r="D816" s="6"/>
      <c r="E816" s="6"/>
      <c r="F816" s="6"/>
    </row>
    <row r="817" spans="1:6" ht="15.75" customHeight="1" x14ac:dyDescent="0.25">
      <c r="A817" s="6"/>
      <c r="B817" s="6"/>
      <c r="C817" s="6"/>
      <c r="D817" s="6"/>
      <c r="E817" s="6"/>
      <c r="F817" s="6"/>
    </row>
    <row r="818" spans="1:6" ht="15.75" customHeight="1" x14ac:dyDescent="0.25">
      <c r="A818" s="6"/>
      <c r="B818" s="6"/>
      <c r="C818" s="6"/>
      <c r="D818" s="6"/>
      <c r="E818" s="6"/>
      <c r="F818" s="6"/>
    </row>
    <row r="819" spans="1:6" ht="15.75" customHeight="1" x14ac:dyDescent="0.25">
      <c r="A819" s="6"/>
      <c r="B819" s="6"/>
      <c r="C819" s="6"/>
      <c r="D819" s="6"/>
      <c r="E819" s="6"/>
      <c r="F819" s="6"/>
    </row>
    <row r="820" spans="1:6" ht="15.75" customHeight="1" x14ac:dyDescent="0.25">
      <c r="A820" s="6"/>
      <c r="B820" s="6"/>
      <c r="C820" s="6"/>
      <c r="D820" s="6"/>
      <c r="E820" s="6"/>
      <c r="F820" s="6"/>
    </row>
    <row r="821" spans="1:6" ht="15.75" customHeight="1" x14ac:dyDescent="0.25">
      <c r="A821" s="6"/>
      <c r="B821" s="6"/>
      <c r="C821" s="6"/>
      <c r="D821" s="6"/>
      <c r="E821" s="6"/>
      <c r="F821" s="6"/>
    </row>
    <row r="822" spans="1:6" ht="15.75" customHeight="1" x14ac:dyDescent="0.25">
      <c r="A822" s="6"/>
      <c r="B822" s="6"/>
      <c r="C822" s="6"/>
      <c r="D822" s="6"/>
      <c r="E822" s="6"/>
      <c r="F822" s="6"/>
    </row>
    <row r="823" spans="1:6" ht="15.75" customHeight="1" x14ac:dyDescent="0.25">
      <c r="A823" s="6"/>
      <c r="B823" s="6"/>
      <c r="C823" s="6"/>
      <c r="D823" s="6"/>
      <c r="E823" s="6"/>
      <c r="F823" s="6"/>
    </row>
    <row r="824" spans="1:6" ht="15.75" customHeight="1" x14ac:dyDescent="0.25">
      <c r="A824" s="6"/>
      <c r="B824" s="6"/>
      <c r="C824" s="6"/>
      <c r="D824" s="6"/>
      <c r="E824" s="6"/>
      <c r="F824" s="6"/>
    </row>
    <row r="825" spans="1:6" ht="15.75" customHeight="1" x14ac:dyDescent="0.25">
      <c r="A825" s="6"/>
      <c r="B825" s="6"/>
      <c r="C825" s="6"/>
      <c r="D825" s="6"/>
      <c r="E825" s="6"/>
      <c r="F825" s="6"/>
    </row>
    <row r="826" spans="1:6" ht="15.75" customHeight="1" x14ac:dyDescent="0.25">
      <c r="A826" s="6"/>
      <c r="B826" s="6"/>
      <c r="C826" s="6"/>
      <c r="D826" s="6"/>
      <c r="E826" s="6"/>
      <c r="F826" s="6"/>
    </row>
    <row r="827" spans="1:6" ht="15.75" customHeight="1" x14ac:dyDescent="0.25">
      <c r="A827" s="6"/>
      <c r="B827" s="6"/>
      <c r="C827" s="6"/>
      <c r="D827" s="6"/>
      <c r="E827" s="6"/>
      <c r="F827" s="6"/>
    </row>
    <row r="828" spans="1:6" ht="15.75" customHeight="1" x14ac:dyDescent="0.25">
      <c r="A828" s="6"/>
      <c r="B828" s="6"/>
      <c r="C828" s="6"/>
      <c r="D828" s="6"/>
      <c r="E828" s="6"/>
      <c r="F828" s="6"/>
    </row>
    <row r="829" spans="1:6" ht="15.75" customHeight="1" x14ac:dyDescent="0.25">
      <c r="A829" s="6"/>
      <c r="B829" s="6"/>
      <c r="C829" s="6"/>
      <c r="D829" s="6"/>
      <c r="E829" s="6"/>
      <c r="F829" s="6"/>
    </row>
    <row r="830" spans="1:6" ht="15.75" customHeight="1" x14ac:dyDescent="0.25">
      <c r="A830" s="6"/>
      <c r="B830" s="6"/>
      <c r="C830" s="6"/>
      <c r="D830" s="6"/>
      <c r="E830" s="6"/>
      <c r="F830" s="6"/>
    </row>
    <row r="831" spans="1:6" ht="15.75" customHeight="1" x14ac:dyDescent="0.25">
      <c r="A831" s="6"/>
      <c r="B831" s="6"/>
      <c r="C831" s="6"/>
      <c r="D831" s="6"/>
      <c r="E831" s="6"/>
      <c r="F831" s="6"/>
    </row>
    <row r="832" spans="1:6" ht="15.75" customHeight="1" x14ac:dyDescent="0.25">
      <c r="A832" s="6"/>
      <c r="B832" s="6"/>
      <c r="C832" s="6"/>
      <c r="D832" s="6"/>
      <c r="E832" s="6"/>
      <c r="F832" s="6"/>
    </row>
    <row r="833" spans="1:6" ht="15.75" customHeight="1" x14ac:dyDescent="0.25">
      <c r="A833" s="6"/>
      <c r="B833" s="6"/>
      <c r="C833" s="6"/>
      <c r="D833" s="6"/>
      <c r="E833" s="6"/>
      <c r="F833" s="6"/>
    </row>
    <row r="834" spans="1:6" ht="15.75" customHeight="1" x14ac:dyDescent="0.25">
      <c r="A834" s="6"/>
      <c r="B834" s="6"/>
      <c r="C834" s="6"/>
      <c r="D834" s="6"/>
      <c r="E834" s="6"/>
      <c r="F834" s="6"/>
    </row>
    <row r="835" spans="1:6" ht="15.75" customHeight="1" x14ac:dyDescent="0.25">
      <c r="A835" s="6"/>
      <c r="B835" s="6"/>
      <c r="C835" s="6"/>
      <c r="D835" s="6"/>
      <c r="E835" s="6"/>
      <c r="F835" s="6"/>
    </row>
    <row r="836" spans="1:6" ht="15.75" customHeight="1" x14ac:dyDescent="0.25">
      <c r="A836" s="6"/>
      <c r="B836" s="6"/>
      <c r="C836" s="6"/>
      <c r="D836" s="6"/>
      <c r="E836" s="6"/>
      <c r="F836" s="6"/>
    </row>
    <row r="837" spans="1:6" ht="15.75" customHeight="1" x14ac:dyDescent="0.25">
      <c r="A837" s="6"/>
      <c r="B837" s="6"/>
      <c r="C837" s="6"/>
      <c r="D837" s="6"/>
      <c r="E837" s="6"/>
      <c r="F837" s="6"/>
    </row>
    <row r="838" spans="1:6" ht="15.75" customHeight="1" x14ac:dyDescent="0.25">
      <c r="A838" s="6"/>
      <c r="B838" s="6"/>
      <c r="C838" s="6"/>
      <c r="D838" s="6"/>
      <c r="E838" s="6"/>
      <c r="F838" s="6"/>
    </row>
    <row r="839" spans="1:6" ht="15.75" customHeight="1" x14ac:dyDescent="0.25">
      <c r="A839" s="6"/>
      <c r="B839" s="6"/>
      <c r="C839" s="6"/>
      <c r="D839" s="6"/>
      <c r="E839" s="6"/>
      <c r="F839" s="6"/>
    </row>
    <row r="840" spans="1:6" ht="15.75" customHeight="1" x14ac:dyDescent="0.25">
      <c r="A840" s="6"/>
      <c r="B840" s="6"/>
      <c r="C840" s="6"/>
      <c r="D840" s="6"/>
      <c r="E840" s="6"/>
      <c r="F840" s="6"/>
    </row>
    <row r="841" spans="1:6" ht="15.75" customHeight="1" x14ac:dyDescent="0.25">
      <c r="A841" s="6"/>
      <c r="B841" s="6"/>
      <c r="C841" s="6"/>
      <c r="D841" s="6"/>
      <c r="E841" s="6"/>
      <c r="F841" s="6"/>
    </row>
    <row r="842" spans="1:6" ht="15.75" customHeight="1" x14ac:dyDescent="0.25">
      <c r="A842" s="6"/>
      <c r="B842" s="6"/>
      <c r="C842" s="6"/>
      <c r="D842" s="6"/>
      <c r="E842" s="6"/>
      <c r="F842" s="6"/>
    </row>
    <row r="843" spans="1:6" ht="15.75" customHeight="1" x14ac:dyDescent="0.25">
      <c r="A843" s="6"/>
      <c r="B843" s="6"/>
      <c r="C843" s="6"/>
      <c r="D843" s="6"/>
      <c r="E843" s="6"/>
      <c r="F843" s="6"/>
    </row>
    <row r="844" spans="1:6" ht="15.75" customHeight="1" x14ac:dyDescent="0.25">
      <c r="A844" s="6"/>
      <c r="B844" s="6"/>
      <c r="C844" s="6"/>
      <c r="D844" s="6"/>
      <c r="E844" s="6"/>
      <c r="F844" s="6"/>
    </row>
    <row r="845" spans="1:6" ht="15.75" customHeight="1" x14ac:dyDescent="0.25">
      <c r="A845" s="6"/>
      <c r="B845" s="6"/>
      <c r="C845" s="6"/>
      <c r="D845" s="6"/>
      <c r="E845" s="6"/>
      <c r="F845" s="6"/>
    </row>
    <row r="846" spans="1:6" ht="15.75" customHeight="1" x14ac:dyDescent="0.25">
      <c r="A846" s="6"/>
      <c r="B846" s="6"/>
      <c r="C846" s="6"/>
      <c r="D846" s="6"/>
      <c r="E846" s="6"/>
      <c r="F846" s="6"/>
    </row>
    <row r="847" spans="1:6" ht="15.75" customHeight="1" x14ac:dyDescent="0.25">
      <c r="A847" s="6"/>
      <c r="B847" s="6"/>
      <c r="C847" s="6"/>
      <c r="D847" s="6"/>
      <c r="E847" s="6"/>
      <c r="F847" s="6"/>
    </row>
    <row r="848" spans="1:6" ht="15.75" customHeight="1" x14ac:dyDescent="0.25">
      <c r="A848" s="6"/>
      <c r="B848" s="6"/>
      <c r="C848" s="6"/>
      <c r="D848" s="6"/>
      <c r="E848" s="6"/>
      <c r="F848" s="6"/>
    </row>
    <row r="849" spans="1:6" ht="15.75" customHeight="1" x14ac:dyDescent="0.25">
      <c r="A849" s="6"/>
      <c r="B849" s="6"/>
      <c r="C849" s="6"/>
      <c r="D849" s="6"/>
      <c r="E849" s="6"/>
      <c r="F849" s="6"/>
    </row>
    <row r="850" spans="1:6" ht="15.75" customHeight="1" x14ac:dyDescent="0.25">
      <c r="A850" s="6"/>
      <c r="B850" s="6"/>
      <c r="C850" s="6"/>
      <c r="D850" s="6"/>
      <c r="E850" s="6"/>
      <c r="F850" s="6"/>
    </row>
    <row r="851" spans="1:6" ht="15.75" customHeight="1" x14ac:dyDescent="0.25">
      <c r="A851" s="6"/>
      <c r="B851" s="6"/>
      <c r="C851" s="6"/>
      <c r="D851" s="6"/>
      <c r="E851" s="6"/>
      <c r="F851" s="6"/>
    </row>
    <row r="852" spans="1:6" ht="15.75" customHeight="1" x14ac:dyDescent="0.25">
      <c r="A852" s="6"/>
      <c r="B852" s="6"/>
      <c r="C852" s="6"/>
      <c r="D852" s="6"/>
      <c r="E852" s="6"/>
      <c r="F852" s="6"/>
    </row>
    <row r="853" spans="1:6" ht="15.75" customHeight="1" x14ac:dyDescent="0.25">
      <c r="A853" s="6"/>
      <c r="B853" s="6"/>
      <c r="C853" s="6"/>
      <c r="D853" s="6"/>
      <c r="E853" s="6"/>
      <c r="F853" s="6"/>
    </row>
    <row r="854" spans="1:6" ht="15.75" customHeight="1" x14ac:dyDescent="0.25">
      <c r="A854" s="6"/>
      <c r="B854" s="6"/>
      <c r="C854" s="6"/>
      <c r="D854" s="6"/>
      <c r="E854" s="6"/>
      <c r="F854" s="6"/>
    </row>
    <row r="855" spans="1:6" ht="15.75" customHeight="1" x14ac:dyDescent="0.25">
      <c r="A855" s="6"/>
      <c r="B855" s="6"/>
      <c r="C855" s="6"/>
      <c r="D855" s="6"/>
      <c r="E855" s="6"/>
      <c r="F855" s="6"/>
    </row>
    <row r="856" spans="1:6" ht="15.75" customHeight="1" x14ac:dyDescent="0.25">
      <c r="A856" s="6"/>
      <c r="B856" s="6"/>
      <c r="C856" s="6"/>
      <c r="D856" s="6"/>
      <c r="E856" s="6"/>
      <c r="F856" s="6"/>
    </row>
    <row r="857" spans="1:6" ht="15.75" customHeight="1" x14ac:dyDescent="0.25">
      <c r="A857" s="6"/>
      <c r="B857" s="6"/>
      <c r="C857" s="6"/>
      <c r="D857" s="6"/>
      <c r="E857" s="6"/>
      <c r="F857" s="6"/>
    </row>
    <row r="858" spans="1:6" ht="15.75" customHeight="1" x14ac:dyDescent="0.25">
      <c r="A858" s="6"/>
      <c r="B858" s="6"/>
      <c r="C858" s="6"/>
      <c r="D858" s="6"/>
      <c r="E858" s="6"/>
      <c r="F858" s="6"/>
    </row>
    <row r="859" spans="1:6" ht="15.75" customHeight="1" x14ac:dyDescent="0.25">
      <c r="A859" s="6"/>
      <c r="B859" s="6"/>
      <c r="C859" s="6"/>
      <c r="D859" s="6"/>
      <c r="E859" s="6"/>
      <c r="F859" s="6"/>
    </row>
    <row r="860" spans="1:6" ht="15.75" customHeight="1" x14ac:dyDescent="0.25">
      <c r="A860" s="6"/>
      <c r="B860" s="6"/>
      <c r="C860" s="6"/>
      <c r="D860" s="6"/>
      <c r="E860" s="6"/>
      <c r="F860" s="6"/>
    </row>
    <row r="861" spans="1:6" ht="15.75" customHeight="1" x14ac:dyDescent="0.25">
      <c r="A861" s="6"/>
      <c r="B861" s="6"/>
      <c r="C861" s="6"/>
      <c r="D861" s="6"/>
      <c r="E861" s="6"/>
      <c r="F861" s="6"/>
    </row>
    <row r="862" spans="1:6" ht="15.75" customHeight="1" x14ac:dyDescent="0.25">
      <c r="A862" s="6"/>
      <c r="B862" s="6"/>
      <c r="C862" s="6"/>
      <c r="D862" s="6"/>
      <c r="E862" s="6"/>
      <c r="F862" s="6"/>
    </row>
    <row r="863" spans="1:6" ht="15.75" customHeight="1" x14ac:dyDescent="0.25">
      <c r="A863" s="6"/>
      <c r="B863" s="6"/>
      <c r="C863" s="6"/>
      <c r="D863" s="6"/>
      <c r="E863" s="6"/>
      <c r="F863" s="6"/>
    </row>
    <row r="864" spans="1:6" ht="15.75" customHeight="1" x14ac:dyDescent="0.25">
      <c r="A864" s="6"/>
      <c r="B864" s="6"/>
      <c r="C864" s="6"/>
      <c r="D864" s="6"/>
      <c r="E864" s="6"/>
      <c r="F864" s="6"/>
    </row>
    <row r="865" spans="1:6" ht="15.75" customHeight="1" x14ac:dyDescent="0.25">
      <c r="A865" s="6"/>
      <c r="B865" s="6"/>
      <c r="C865" s="6"/>
      <c r="D865" s="6"/>
      <c r="E865" s="6"/>
      <c r="F865" s="6"/>
    </row>
    <row r="866" spans="1:6" ht="15.75" customHeight="1" x14ac:dyDescent="0.25">
      <c r="A866" s="6"/>
      <c r="B866" s="6"/>
      <c r="C866" s="6"/>
      <c r="D866" s="6"/>
      <c r="E866" s="6"/>
      <c r="F866" s="6"/>
    </row>
    <row r="867" spans="1:6" ht="15.75" customHeight="1" x14ac:dyDescent="0.25">
      <c r="A867" s="6"/>
      <c r="B867" s="6"/>
      <c r="C867" s="6"/>
      <c r="D867" s="6"/>
      <c r="E867" s="6"/>
      <c r="F867" s="6"/>
    </row>
    <row r="868" spans="1:6" ht="15.75" customHeight="1" x14ac:dyDescent="0.25">
      <c r="A868" s="6"/>
      <c r="B868" s="6"/>
      <c r="C868" s="6"/>
      <c r="D868" s="6"/>
      <c r="E868" s="6"/>
      <c r="F868" s="6"/>
    </row>
    <row r="869" spans="1:6" ht="15.75" customHeight="1" x14ac:dyDescent="0.25">
      <c r="A869" s="6"/>
      <c r="B869" s="6"/>
      <c r="C869" s="6"/>
      <c r="D869" s="6"/>
      <c r="E869" s="6"/>
      <c r="F869" s="6"/>
    </row>
    <row r="870" spans="1:6" ht="15.75" customHeight="1" x14ac:dyDescent="0.25">
      <c r="A870" s="6"/>
      <c r="B870" s="6"/>
      <c r="C870" s="6"/>
      <c r="D870" s="6"/>
      <c r="E870" s="6"/>
      <c r="F870" s="6"/>
    </row>
    <row r="871" spans="1:6" ht="15.75" customHeight="1" x14ac:dyDescent="0.25">
      <c r="A871" s="6"/>
      <c r="B871" s="6"/>
      <c r="C871" s="6"/>
      <c r="D871" s="6"/>
      <c r="E871" s="6"/>
      <c r="F871" s="6"/>
    </row>
    <row r="872" spans="1:6" ht="15.75" customHeight="1" x14ac:dyDescent="0.25">
      <c r="A872" s="6"/>
      <c r="B872" s="6"/>
      <c r="C872" s="6"/>
      <c r="D872" s="6"/>
      <c r="E872" s="6"/>
      <c r="F872" s="6"/>
    </row>
    <row r="873" spans="1:6" ht="15.75" customHeight="1" x14ac:dyDescent="0.25">
      <c r="A873" s="6"/>
      <c r="B873" s="6"/>
      <c r="C873" s="6"/>
      <c r="D873" s="6"/>
      <c r="E873" s="6"/>
      <c r="F873" s="6"/>
    </row>
    <row r="874" spans="1:6" ht="15.75" customHeight="1" x14ac:dyDescent="0.25">
      <c r="A874" s="6"/>
      <c r="B874" s="6"/>
      <c r="C874" s="6"/>
      <c r="D874" s="6"/>
      <c r="E874" s="6"/>
      <c r="F874" s="6"/>
    </row>
    <row r="875" spans="1:6" ht="15.75" customHeight="1" x14ac:dyDescent="0.25">
      <c r="A875" s="6"/>
      <c r="B875" s="6"/>
      <c r="C875" s="6"/>
      <c r="D875" s="6"/>
      <c r="E875" s="6"/>
      <c r="F875" s="6"/>
    </row>
    <row r="876" spans="1:6" ht="15.75" customHeight="1" x14ac:dyDescent="0.25">
      <c r="A876" s="6"/>
      <c r="B876" s="6"/>
      <c r="C876" s="6"/>
      <c r="D876" s="6"/>
      <c r="E876" s="6"/>
      <c r="F876" s="6"/>
    </row>
    <row r="877" spans="1:6" ht="15.75" customHeight="1" x14ac:dyDescent="0.25">
      <c r="A877" s="6"/>
      <c r="B877" s="6"/>
      <c r="C877" s="6"/>
      <c r="D877" s="6"/>
      <c r="E877" s="6"/>
      <c r="F877" s="6"/>
    </row>
    <row r="878" spans="1:6" ht="15.75" customHeight="1" x14ac:dyDescent="0.25">
      <c r="A878" s="6"/>
      <c r="B878" s="6"/>
      <c r="C878" s="6"/>
      <c r="D878" s="6"/>
      <c r="E878" s="6"/>
      <c r="F878" s="6"/>
    </row>
    <row r="879" spans="1:6" ht="15.75" customHeight="1" x14ac:dyDescent="0.25">
      <c r="A879" s="6"/>
      <c r="B879" s="6"/>
      <c r="C879" s="6"/>
      <c r="D879" s="6"/>
      <c r="E879" s="6"/>
      <c r="F879" s="6"/>
    </row>
    <row r="880" spans="1:6" ht="15.75" customHeight="1" x14ac:dyDescent="0.25">
      <c r="A880" s="6"/>
      <c r="B880" s="6"/>
      <c r="C880" s="6"/>
      <c r="D880" s="6"/>
      <c r="E880" s="6"/>
      <c r="F880" s="6"/>
    </row>
    <row r="881" spans="1:6" ht="15.75" customHeight="1" x14ac:dyDescent="0.25">
      <c r="A881" s="6"/>
      <c r="B881" s="6"/>
      <c r="C881" s="6"/>
      <c r="D881" s="6"/>
      <c r="E881" s="6"/>
      <c r="F881" s="6"/>
    </row>
    <row r="882" spans="1:6" ht="15.75" customHeight="1" x14ac:dyDescent="0.25">
      <c r="A882" s="6"/>
      <c r="B882" s="6"/>
      <c r="C882" s="6"/>
      <c r="D882" s="6"/>
      <c r="E882" s="6"/>
      <c r="F882" s="6"/>
    </row>
    <row r="883" spans="1:6" ht="15.75" customHeight="1" x14ac:dyDescent="0.25">
      <c r="A883" s="6"/>
      <c r="B883" s="6"/>
      <c r="C883" s="6"/>
      <c r="D883" s="6"/>
      <c r="E883" s="6"/>
      <c r="F883" s="6"/>
    </row>
    <row r="884" spans="1:6" ht="15.75" customHeight="1" x14ac:dyDescent="0.25">
      <c r="A884" s="6"/>
      <c r="B884" s="6"/>
      <c r="C884" s="6"/>
      <c r="D884" s="6"/>
      <c r="E884" s="6"/>
      <c r="F884" s="6"/>
    </row>
    <row r="885" spans="1:6" ht="15.75" customHeight="1" x14ac:dyDescent="0.25">
      <c r="A885" s="6"/>
      <c r="B885" s="6"/>
      <c r="C885" s="6"/>
      <c r="D885" s="6"/>
      <c r="E885" s="6"/>
      <c r="F885" s="6"/>
    </row>
    <row r="886" spans="1:6" ht="15.75" customHeight="1" x14ac:dyDescent="0.25">
      <c r="A886" s="6"/>
      <c r="B886" s="6"/>
      <c r="C886" s="6"/>
      <c r="D886" s="6"/>
      <c r="E886" s="6"/>
      <c r="F886" s="6"/>
    </row>
    <row r="887" spans="1:6" ht="15.75" customHeight="1" x14ac:dyDescent="0.25">
      <c r="A887" s="6"/>
      <c r="B887" s="6"/>
      <c r="C887" s="6"/>
      <c r="D887" s="6"/>
      <c r="E887" s="6"/>
      <c r="F887" s="6"/>
    </row>
    <row r="888" spans="1:6" ht="15.75" customHeight="1" x14ac:dyDescent="0.25">
      <c r="A888" s="6"/>
      <c r="B888" s="6"/>
      <c r="C888" s="6"/>
      <c r="D888" s="6"/>
      <c r="E888" s="6"/>
      <c r="F888" s="6"/>
    </row>
    <row r="889" spans="1:6" ht="15.75" customHeight="1" x14ac:dyDescent="0.25">
      <c r="A889" s="6"/>
      <c r="B889" s="6"/>
      <c r="C889" s="6"/>
      <c r="D889" s="6"/>
      <c r="E889" s="6"/>
      <c r="F889" s="6"/>
    </row>
    <row r="890" spans="1:6" ht="15.75" customHeight="1" x14ac:dyDescent="0.25">
      <c r="A890" s="6"/>
      <c r="B890" s="6"/>
      <c r="C890" s="6"/>
      <c r="D890" s="6"/>
      <c r="E890" s="6"/>
      <c r="F890" s="6"/>
    </row>
    <row r="891" spans="1:6" ht="15.75" customHeight="1" x14ac:dyDescent="0.25">
      <c r="A891" s="6"/>
      <c r="B891" s="6"/>
      <c r="C891" s="6"/>
      <c r="D891" s="6"/>
      <c r="E891" s="6"/>
      <c r="F891" s="6"/>
    </row>
    <row r="892" spans="1:6" ht="15.75" customHeight="1" x14ac:dyDescent="0.25">
      <c r="A892" s="6"/>
      <c r="B892" s="6"/>
      <c r="C892" s="6"/>
      <c r="D892" s="6"/>
      <c r="E892" s="6"/>
      <c r="F892" s="6"/>
    </row>
    <row r="893" spans="1:6" ht="15.75" customHeight="1" x14ac:dyDescent="0.25">
      <c r="A893" s="6"/>
      <c r="B893" s="6"/>
      <c r="C893" s="6"/>
      <c r="D893" s="6"/>
      <c r="E893" s="6"/>
      <c r="F893" s="6"/>
    </row>
    <row r="894" spans="1:6" ht="15.75" customHeight="1" x14ac:dyDescent="0.25">
      <c r="A894" s="6"/>
      <c r="B894" s="6"/>
      <c r="C894" s="6"/>
      <c r="D894" s="6"/>
      <c r="E894" s="6"/>
      <c r="F894" s="6"/>
    </row>
    <row r="895" spans="1:6" ht="15.75" customHeight="1" x14ac:dyDescent="0.25">
      <c r="A895" s="6"/>
      <c r="B895" s="6"/>
      <c r="C895" s="6"/>
      <c r="D895" s="6"/>
      <c r="E895" s="6"/>
      <c r="F895" s="6"/>
    </row>
    <row r="896" spans="1:6" ht="15.75" customHeight="1" x14ac:dyDescent="0.25">
      <c r="A896" s="6"/>
      <c r="B896" s="6"/>
      <c r="C896" s="6"/>
      <c r="D896" s="6"/>
      <c r="E896" s="6"/>
      <c r="F896" s="6"/>
    </row>
    <row r="897" spans="1:6" ht="15.75" customHeight="1" x14ac:dyDescent="0.25">
      <c r="A897" s="6"/>
      <c r="B897" s="6"/>
      <c r="C897" s="6"/>
      <c r="D897" s="6"/>
      <c r="E897" s="6"/>
      <c r="F897" s="6"/>
    </row>
    <row r="898" spans="1:6" ht="15.75" customHeight="1" x14ac:dyDescent="0.25">
      <c r="A898" s="6"/>
      <c r="B898" s="6"/>
      <c r="C898" s="6"/>
      <c r="D898" s="6"/>
      <c r="E898" s="6"/>
      <c r="F898" s="6"/>
    </row>
    <row r="899" spans="1:6" ht="15.75" customHeight="1" x14ac:dyDescent="0.25">
      <c r="A899" s="6"/>
      <c r="B899" s="6"/>
      <c r="C899" s="6"/>
      <c r="D899" s="6"/>
      <c r="E899" s="6"/>
      <c r="F899" s="6"/>
    </row>
    <row r="900" spans="1:6" ht="15.75" customHeight="1" x14ac:dyDescent="0.25">
      <c r="A900" s="6"/>
      <c r="B900" s="6"/>
      <c r="C900" s="6"/>
      <c r="D900" s="6"/>
      <c r="E900" s="6"/>
      <c r="F900" s="6"/>
    </row>
    <row r="901" spans="1:6" ht="15.75" customHeight="1" x14ac:dyDescent="0.25">
      <c r="A901" s="6"/>
      <c r="B901" s="6"/>
      <c r="C901" s="6"/>
      <c r="D901" s="6"/>
      <c r="E901" s="6"/>
      <c r="F901" s="6"/>
    </row>
    <row r="902" spans="1:6" ht="15.75" customHeight="1" x14ac:dyDescent="0.25">
      <c r="A902" s="6"/>
      <c r="B902" s="6"/>
      <c r="C902" s="6"/>
      <c r="D902" s="6"/>
      <c r="E902" s="6"/>
      <c r="F902" s="6"/>
    </row>
    <row r="903" spans="1:6" ht="15.75" customHeight="1" x14ac:dyDescent="0.25">
      <c r="A903" s="6"/>
      <c r="B903" s="6"/>
      <c r="C903" s="6"/>
      <c r="D903" s="6"/>
      <c r="E903" s="6"/>
      <c r="F903" s="6"/>
    </row>
    <row r="904" spans="1:6" ht="15.75" customHeight="1" x14ac:dyDescent="0.25">
      <c r="A904" s="6"/>
      <c r="B904" s="6"/>
      <c r="C904" s="6"/>
      <c r="D904" s="6"/>
      <c r="E904" s="6"/>
      <c r="F904" s="6"/>
    </row>
    <row r="905" spans="1:6" ht="15.75" customHeight="1" x14ac:dyDescent="0.25">
      <c r="A905" s="6"/>
      <c r="B905" s="6"/>
      <c r="C905" s="6"/>
      <c r="D905" s="6"/>
      <c r="E905" s="6"/>
      <c r="F905" s="6"/>
    </row>
    <row r="906" spans="1:6" ht="15.75" customHeight="1" x14ac:dyDescent="0.25">
      <c r="A906" s="6"/>
      <c r="B906" s="6"/>
      <c r="C906" s="6"/>
      <c r="D906" s="6"/>
      <c r="E906" s="6"/>
      <c r="F906" s="6"/>
    </row>
    <row r="907" spans="1:6" ht="15.75" customHeight="1" x14ac:dyDescent="0.25">
      <c r="A907" s="6"/>
      <c r="B907" s="6"/>
      <c r="C907" s="6"/>
      <c r="D907" s="6"/>
      <c r="E907" s="6"/>
      <c r="F907" s="6"/>
    </row>
    <row r="908" spans="1:6" ht="15.75" customHeight="1" x14ac:dyDescent="0.25">
      <c r="A908" s="6"/>
      <c r="B908" s="6"/>
      <c r="C908" s="6"/>
      <c r="D908" s="6"/>
      <c r="E908" s="6"/>
      <c r="F908" s="6"/>
    </row>
    <row r="909" spans="1:6" ht="15.75" customHeight="1" x14ac:dyDescent="0.25">
      <c r="A909" s="6"/>
      <c r="B909" s="6"/>
      <c r="C909" s="6"/>
      <c r="D909" s="6"/>
      <c r="E909" s="6"/>
      <c r="F909" s="6"/>
    </row>
    <row r="910" spans="1:6" ht="15.75" customHeight="1" x14ac:dyDescent="0.25">
      <c r="A910" s="6"/>
      <c r="B910" s="6"/>
      <c r="C910" s="6"/>
      <c r="D910" s="6"/>
      <c r="E910" s="6"/>
      <c r="F910" s="6"/>
    </row>
    <row r="911" spans="1:6" ht="15.75" customHeight="1" x14ac:dyDescent="0.25">
      <c r="A911" s="6"/>
      <c r="B911" s="6"/>
      <c r="C911" s="6"/>
      <c r="D911" s="6"/>
      <c r="E911" s="6"/>
      <c r="F911" s="6"/>
    </row>
    <row r="912" spans="1:6" ht="15.75" customHeight="1" x14ac:dyDescent="0.25">
      <c r="A912" s="6"/>
      <c r="B912" s="6"/>
      <c r="C912" s="6"/>
      <c r="D912" s="6"/>
      <c r="E912" s="6"/>
      <c r="F912" s="6"/>
    </row>
    <row r="913" spans="1:6" ht="15.75" customHeight="1" x14ac:dyDescent="0.25">
      <c r="A913" s="6"/>
      <c r="B913" s="6"/>
      <c r="C913" s="6"/>
      <c r="D913" s="6"/>
      <c r="E913" s="6"/>
      <c r="F913" s="6"/>
    </row>
    <row r="914" spans="1:6" ht="15.75" customHeight="1" x14ac:dyDescent="0.25">
      <c r="A914" s="6"/>
      <c r="B914" s="6"/>
      <c r="C914" s="6"/>
      <c r="D914" s="6"/>
      <c r="E914" s="6"/>
      <c r="F914" s="6"/>
    </row>
    <row r="915" spans="1:6" ht="15.75" customHeight="1" x14ac:dyDescent="0.25">
      <c r="A915" s="6"/>
      <c r="B915" s="6"/>
      <c r="C915" s="6"/>
      <c r="D915" s="6"/>
      <c r="E915" s="6"/>
      <c r="F915" s="6"/>
    </row>
    <row r="916" spans="1:6" ht="15.75" customHeight="1" x14ac:dyDescent="0.25">
      <c r="A916" s="6"/>
      <c r="B916" s="6"/>
      <c r="C916" s="6"/>
      <c r="D916" s="6"/>
      <c r="E916" s="6"/>
      <c r="F916" s="6"/>
    </row>
    <row r="917" spans="1:6" ht="15.75" customHeight="1" x14ac:dyDescent="0.25">
      <c r="A917" s="6"/>
      <c r="B917" s="6"/>
      <c r="C917" s="6"/>
      <c r="D917" s="6"/>
      <c r="E917" s="6"/>
      <c r="F917" s="6"/>
    </row>
    <row r="918" spans="1:6" ht="15.75" customHeight="1" x14ac:dyDescent="0.25">
      <c r="A918" s="6"/>
      <c r="B918" s="6"/>
      <c r="C918" s="6"/>
      <c r="D918" s="6"/>
      <c r="E918" s="6"/>
      <c r="F918" s="6"/>
    </row>
    <row r="919" spans="1:6" ht="15.75" customHeight="1" x14ac:dyDescent="0.25">
      <c r="A919" s="6"/>
      <c r="B919" s="6"/>
      <c r="C919" s="6"/>
      <c r="D919" s="6"/>
      <c r="E919" s="6"/>
      <c r="F919" s="6"/>
    </row>
    <row r="920" spans="1:6" ht="15.75" customHeight="1" x14ac:dyDescent="0.25">
      <c r="A920" s="6"/>
      <c r="B920" s="6"/>
      <c r="C920" s="6"/>
      <c r="D920" s="6"/>
      <c r="E920" s="6"/>
      <c r="F920" s="6"/>
    </row>
    <row r="921" spans="1:6" ht="15.75" customHeight="1" x14ac:dyDescent="0.25">
      <c r="A921" s="6"/>
      <c r="B921" s="6"/>
      <c r="C921" s="6"/>
      <c r="D921" s="6"/>
      <c r="E921" s="6"/>
      <c r="F921" s="6"/>
    </row>
    <row r="922" spans="1:6" ht="15.75" customHeight="1" x14ac:dyDescent="0.25">
      <c r="A922" s="6"/>
      <c r="B922" s="6"/>
      <c r="C922" s="6"/>
      <c r="D922" s="6"/>
      <c r="E922" s="6"/>
      <c r="F922" s="6"/>
    </row>
    <row r="923" spans="1:6" ht="15.75" customHeight="1" x14ac:dyDescent="0.25">
      <c r="A923" s="6"/>
      <c r="B923" s="6"/>
      <c r="C923" s="6"/>
      <c r="D923" s="6"/>
      <c r="E923" s="6"/>
      <c r="F923" s="6"/>
    </row>
    <row r="924" spans="1:6" ht="15.75" customHeight="1" x14ac:dyDescent="0.25">
      <c r="A924" s="6"/>
      <c r="B924" s="6"/>
      <c r="C924" s="6"/>
      <c r="D924" s="6"/>
      <c r="E924" s="6"/>
      <c r="F924" s="6"/>
    </row>
    <row r="925" spans="1:6" ht="15.75" customHeight="1" x14ac:dyDescent="0.25">
      <c r="A925" s="6"/>
      <c r="B925" s="6"/>
      <c r="C925" s="6"/>
      <c r="D925" s="6"/>
      <c r="E925" s="6"/>
      <c r="F925" s="6"/>
    </row>
    <row r="926" spans="1:6" ht="15.75" customHeight="1" x14ac:dyDescent="0.25">
      <c r="A926" s="6"/>
      <c r="B926" s="6"/>
      <c r="C926" s="6"/>
      <c r="D926" s="6"/>
      <c r="E926" s="6"/>
      <c r="F926" s="6"/>
    </row>
    <row r="927" spans="1:6" ht="15.75" customHeight="1" x14ac:dyDescent="0.25">
      <c r="A927" s="6"/>
      <c r="B927" s="6"/>
      <c r="C927" s="6"/>
      <c r="D927" s="6"/>
      <c r="E927" s="6"/>
      <c r="F927" s="6"/>
    </row>
    <row r="928" spans="1:6" ht="15.75" customHeight="1" x14ac:dyDescent="0.25">
      <c r="A928" s="6"/>
      <c r="B928" s="6"/>
      <c r="C928" s="6"/>
      <c r="D928" s="6"/>
      <c r="E928" s="6"/>
      <c r="F928" s="6"/>
    </row>
    <row r="929" spans="1:6" ht="15.75" customHeight="1" x14ac:dyDescent="0.25">
      <c r="A929" s="6"/>
      <c r="B929" s="6"/>
      <c r="C929" s="6"/>
      <c r="D929" s="6"/>
      <c r="E929" s="6"/>
      <c r="F929" s="6"/>
    </row>
    <row r="930" spans="1:6" ht="15.75" customHeight="1" x14ac:dyDescent="0.25">
      <c r="A930" s="6"/>
      <c r="B930" s="6"/>
      <c r="C930" s="6"/>
      <c r="D930" s="6"/>
      <c r="E930" s="6"/>
      <c r="F930" s="6"/>
    </row>
    <row r="931" spans="1:6" ht="15.75" customHeight="1" x14ac:dyDescent="0.25">
      <c r="A931" s="6"/>
      <c r="B931" s="6"/>
      <c r="C931" s="6"/>
      <c r="D931" s="6"/>
      <c r="E931" s="6"/>
      <c r="F931" s="6"/>
    </row>
    <row r="932" spans="1:6" ht="15.75" customHeight="1" x14ac:dyDescent="0.25">
      <c r="A932" s="6"/>
      <c r="B932" s="6"/>
      <c r="C932" s="6"/>
      <c r="D932" s="6"/>
      <c r="E932" s="6"/>
      <c r="F932" s="6"/>
    </row>
    <row r="933" spans="1:6" ht="15.75" customHeight="1" x14ac:dyDescent="0.25">
      <c r="A933" s="6"/>
      <c r="B933" s="6"/>
      <c r="C933" s="6"/>
      <c r="D933" s="6"/>
      <c r="E933" s="6"/>
      <c r="F933" s="6"/>
    </row>
    <row r="934" spans="1:6" ht="15.75" customHeight="1" x14ac:dyDescent="0.25">
      <c r="A934" s="6"/>
      <c r="B934" s="6"/>
      <c r="C934" s="6"/>
      <c r="D934" s="6"/>
      <c r="E934" s="6"/>
      <c r="F934" s="6"/>
    </row>
    <row r="935" spans="1:6" ht="15.75" customHeight="1" x14ac:dyDescent="0.25">
      <c r="A935" s="6"/>
      <c r="B935" s="6"/>
      <c r="C935" s="6"/>
      <c r="D935" s="6"/>
      <c r="E935" s="6"/>
      <c r="F935" s="6"/>
    </row>
    <row r="936" spans="1:6" ht="15.75" customHeight="1" x14ac:dyDescent="0.25">
      <c r="A936" s="6"/>
      <c r="B936" s="6"/>
      <c r="C936" s="6"/>
      <c r="D936" s="6"/>
      <c r="E936" s="6"/>
      <c r="F936" s="6"/>
    </row>
    <row r="937" spans="1:6" ht="15.75" customHeight="1" x14ac:dyDescent="0.25">
      <c r="A937" s="6"/>
      <c r="B937" s="6"/>
      <c r="C937" s="6"/>
      <c r="D937" s="6"/>
      <c r="E937" s="6"/>
      <c r="F937" s="6"/>
    </row>
    <row r="938" spans="1:6" ht="15.75" customHeight="1" x14ac:dyDescent="0.25">
      <c r="A938" s="6"/>
      <c r="B938" s="6"/>
      <c r="C938" s="6"/>
      <c r="D938" s="6"/>
      <c r="E938" s="6"/>
      <c r="F938" s="6"/>
    </row>
    <row r="939" spans="1:6" ht="15.75" customHeight="1" x14ac:dyDescent="0.25">
      <c r="A939" s="6"/>
      <c r="B939" s="6"/>
      <c r="C939" s="6"/>
      <c r="D939" s="6"/>
      <c r="E939" s="6"/>
      <c r="F939" s="6"/>
    </row>
    <row r="940" spans="1:6" ht="15.75" customHeight="1" x14ac:dyDescent="0.25">
      <c r="A940" s="6"/>
      <c r="B940" s="6"/>
      <c r="C940" s="6"/>
      <c r="D940" s="6"/>
      <c r="E940" s="6"/>
      <c r="F940" s="6"/>
    </row>
    <row r="941" spans="1:6" ht="15.75" customHeight="1" x14ac:dyDescent="0.25">
      <c r="A941" s="6"/>
      <c r="B941" s="6"/>
      <c r="C941" s="6"/>
      <c r="D941" s="6"/>
      <c r="E941" s="6"/>
      <c r="F941" s="6"/>
    </row>
    <row r="942" spans="1:6" ht="15.75" customHeight="1" x14ac:dyDescent="0.25">
      <c r="A942" s="6"/>
      <c r="B942" s="6"/>
      <c r="C942" s="6"/>
      <c r="D942" s="6"/>
      <c r="E942" s="6"/>
      <c r="F942" s="6"/>
    </row>
    <row r="943" spans="1:6" ht="15.75" customHeight="1" x14ac:dyDescent="0.25">
      <c r="A943" s="6"/>
      <c r="B943" s="6"/>
      <c r="C943" s="6"/>
      <c r="D943" s="6"/>
      <c r="E943" s="6"/>
      <c r="F943" s="6"/>
    </row>
    <row r="944" spans="1:6" ht="15.75" customHeight="1" x14ac:dyDescent="0.25">
      <c r="A944" s="6"/>
      <c r="B944" s="6"/>
      <c r="C944" s="6"/>
      <c r="D944" s="6"/>
      <c r="E944" s="6"/>
      <c r="F944" s="6"/>
    </row>
    <row r="945" spans="1:6" ht="15.75" customHeight="1" x14ac:dyDescent="0.25">
      <c r="A945" s="6"/>
      <c r="B945" s="6"/>
      <c r="C945" s="6"/>
      <c r="D945" s="6"/>
      <c r="E945" s="6"/>
      <c r="F945" s="6"/>
    </row>
    <row r="946" spans="1:6" ht="15.75" customHeight="1" x14ac:dyDescent="0.25">
      <c r="A946" s="6"/>
      <c r="B946" s="6"/>
      <c r="C946" s="6"/>
      <c r="D946" s="6"/>
      <c r="E946" s="6"/>
      <c r="F946" s="6"/>
    </row>
    <row r="947" spans="1:6" ht="15.75" customHeight="1" x14ac:dyDescent="0.25">
      <c r="A947" s="6"/>
      <c r="B947" s="6"/>
      <c r="C947" s="6"/>
      <c r="D947" s="6"/>
      <c r="E947" s="6"/>
      <c r="F947" s="6"/>
    </row>
    <row r="948" spans="1:6" ht="15.75" customHeight="1" x14ac:dyDescent="0.25">
      <c r="A948" s="6"/>
      <c r="B948" s="6"/>
      <c r="C948" s="6"/>
      <c r="D948" s="6"/>
      <c r="E948" s="6"/>
      <c r="F948" s="6"/>
    </row>
    <row r="949" spans="1:6" ht="15.75" customHeight="1" x14ac:dyDescent="0.25">
      <c r="A949" s="6"/>
      <c r="B949" s="6"/>
      <c r="C949" s="6"/>
      <c r="D949" s="6"/>
      <c r="E949" s="6"/>
      <c r="F949" s="6"/>
    </row>
    <row r="950" spans="1:6" ht="15.75" customHeight="1" x14ac:dyDescent="0.25">
      <c r="A950" s="6"/>
      <c r="B950" s="6"/>
      <c r="C950" s="6"/>
      <c r="D950" s="6"/>
      <c r="E950" s="6"/>
      <c r="F950" s="6"/>
    </row>
    <row r="951" spans="1:6" ht="15.75" customHeight="1" x14ac:dyDescent="0.25">
      <c r="A951" s="6"/>
      <c r="B951" s="6"/>
      <c r="C951" s="6"/>
      <c r="D951" s="6"/>
      <c r="E951" s="6"/>
      <c r="F951" s="6"/>
    </row>
    <row r="952" spans="1:6" ht="15.75" customHeight="1" x14ac:dyDescent="0.25">
      <c r="A952" s="6"/>
      <c r="B952" s="6"/>
      <c r="C952" s="6"/>
      <c r="D952" s="6"/>
      <c r="E952" s="6"/>
      <c r="F952" s="6"/>
    </row>
    <row r="953" spans="1:6" ht="15.75" customHeight="1" x14ac:dyDescent="0.25">
      <c r="A953" s="6"/>
      <c r="B953" s="6"/>
      <c r="C953" s="6"/>
      <c r="D953" s="6"/>
      <c r="E953" s="6"/>
      <c r="F953" s="6"/>
    </row>
    <row r="954" spans="1:6" ht="15.75" customHeight="1" x14ac:dyDescent="0.25">
      <c r="A954" s="6"/>
      <c r="B954" s="6"/>
      <c r="C954" s="6"/>
      <c r="D954" s="6"/>
      <c r="E954" s="6"/>
      <c r="F954" s="6"/>
    </row>
    <row r="955" spans="1:6" ht="15.75" customHeight="1" x14ac:dyDescent="0.25">
      <c r="A955" s="6"/>
      <c r="B955" s="6"/>
      <c r="C955" s="6"/>
      <c r="D955" s="6"/>
      <c r="E955" s="6"/>
      <c r="F955" s="6"/>
    </row>
    <row r="956" spans="1:6" ht="15.75" customHeight="1" x14ac:dyDescent="0.25">
      <c r="A956" s="6"/>
      <c r="B956" s="6"/>
      <c r="C956" s="6"/>
      <c r="D956" s="6"/>
      <c r="E956" s="6"/>
      <c r="F956" s="6"/>
    </row>
    <row r="957" spans="1:6" ht="15.75" customHeight="1" x14ac:dyDescent="0.25">
      <c r="A957" s="6"/>
      <c r="B957" s="6"/>
      <c r="C957" s="6"/>
      <c r="D957" s="6"/>
      <c r="E957" s="6"/>
      <c r="F957" s="6"/>
    </row>
    <row r="958" spans="1:6" ht="15.75" customHeight="1" x14ac:dyDescent="0.25">
      <c r="A958" s="6"/>
      <c r="B958" s="6"/>
      <c r="C958" s="6"/>
      <c r="D958" s="6"/>
      <c r="E958" s="6"/>
      <c r="F958" s="6"/>
    </row>
    <row r="959" spans="1:6" ht="15.75" customHeight="1" x14ac:dyDescent="0.25">
      <c r="A959" s="6"/>
      <c r="B959" s="6"/>
      <c r="C959" s="6"/>
      <c r="D959" s="6"/>
      <c r="E959" s="6"/>
      <c r="F959" s="6"/>
    </row>
    <row r="960" spans="1:6" ht="15.75" customHeight="1" x14ac:dyDescent="0.25">
      <c r="A960" s="6"/>
      <c r="B960" s="6"/>
      <c r="C960" s="6"/>
      <c r="D960" s="6"/>
      <c r="E960" s="6"/>
      <c r="F960" s="6"/>
    </row>
    <row r="961" spans="1:6" ht="15.75" customHeight="1" x14ac:dyDescent="0.25">
      <c r="A961" s="6"/>
      <c r="B961" s="6"/>
      <c r="C961" s="6"/>
      <c r="D961" s="6"/>
      <c r="E961" s="6"/>
      <c r="F961" s="6"/>
    </row>
    <row r="962" spans="1:6" ht="15.75" customHeight="1" x14ac:dyDescent="0.25">
      <c r="A962" s="6"/>
      <c r="B962" s="6"/>
      <c r="C962" s="6"/>
      <c r="D962" s="6"/>
      <c r="E962" s="6"/>
      <c r="F962" s="6"/>
    </row>
    <row r="963" spans="1:6" ht="15.75" customHeight="1" x14ac:dyDescent="0.25">
      <c r="A963" s="6"/>
      <c r="B963" s="6"/>
      <c r="C963" s="6"/>
      <c r="D963" s="6"/>
      <c r="E963" s="6"/>
      <c r="F963" s="6"/>
    </row>
    <row r="964" spans="1:6" ht="15.75" customHeight="1" x14ac:dyDescent="0.25">
      <c r="A964" s="6"/>
      <c r="B964" s="6"/>
      <c r="C964" s="6"/>
      <c r="D964" s="6"/>
      <c r="E964" s="6"/>
      <c r="F964" s="6"/>
    </row>
    <row r="965" spans="1:6" ht="15.75" customHeight="1" x14ac:dyDescent="0.25">
      <c r="A965" s="6"/>
      <c r="B965" s="6"/>
      <c r="C965" s="6"/>
      <c r="D965" s="6"/>
      <c r="E965" s="6"/>
      <c r="F965" s="6"/>
    </row>
    <row r="966" spans="1:6" ht="15.75" customHeight="1" x14ac:dyDescent="0.25">
      <c r="A966" s="6"/>
      <c r="B966" s="6"/>
      <c r="C966" s="6"/>
      <c r="D966" s="6"/>
      <c r="E966" s="6"/>
      <c r="F966" s="6"/>
    </row>
    <row r="967" spans="1:6" ht="15.75" customHeight="1" x14ac:dyDescent="0.25">
      <c r="A967" s="6"/>
      <c r="B967" s="6"/>
      <c r="C967" s="6"/>
      <c r="D967" s="6"/>
      <c r="E967" s="6"/>
      <c r="F967" s="6"/>
    </row>
    <row r="968" spans="1:6" ht="15.75" customHeight="1" x14ac:dyDescent="0.25">
      <c r="A968" s="6"/>
      <c r="B968" s="6"/>
      <c r="C968" s="6"/>
      <c r="D968" s="6"/>
      <c r="E968" s="6"/>
      <c r="F968" s="6"/>
    </row>
    <row r="969" spans="1:6" ht="15.75" customHeight="1" x14ac:dyDescent="0.25">
      <c r="A969" s="6"/>
      <c r="B969" s="6"/>
      <c r="C969" s="6"/>
      <c r="D969" s="6"/>
      <c r="E969" s="6"/>
      <c r="F969" s="6"/>
    </row>
    <row r="970" spans="1:6" ht="15.75" customHeight="1" x14ac:dyDescent="0.25">
      <c r="A970" s="6"/>
      <c r="B970" s="6"/>
      <c r="C970" s="6"/>
      <c r="D970" s="6"/>
      <c r="E970" s="6"/>
      <c r="F970" s="6"/>
    </row>
    <row r="971" spans="1:6" ht="15.75" customHeight="1" x14ac:dyDescent="0.25">
      <c r="A971" s="6"/>
      <c r="B971" s="6"/>
      <c r="C971" s="6"/>
      <c r="D971" s="6"/>
      <c r="E971" s="6"/>
      <c r="F971" s="6"/>
    </row>
    <row r="972" spans="1:6" ht="15.75" customHeight="1" x14ac:dyDescent="0.25">
      <c r="A972" s="6"/>
      <c r="B972" s="6"/>
      <c r="C972" s="6"/>
      <c r="D972" s="6"/>
      <c r="E972" s="6"/>
      <c r="F972" s="6"/>
    </row>
    <row r="973" spans="1:6" ht="15.75" customHeight="1" x14ac:dyDescent="0.25">
      <c r="A973" s="6"/>
      <c r="B973" s="6"/>
      <c r="C973" s="6"/>
      <c r="D973" s="6"/>
      <c r="E973" s="6"/>
      <c r="F973" s="6"/>
    </row>
    <row r="974" spans="1:6" ht="15.75" customHeight="1" x14ac:dyDescent="0.25">
      <c r="A974" s="6"/>
      <c r="B974" s="6"/>
      <c r="C974" s="6"/>
      <c r="D974" s="6"/>
      <c r="E974" s="6"/>
      <c r="F974" s="6"/>
    </row>
    <row r="975" spans="1:6" ht="15.75" customHeight="1" x14ac:dyDescent="0.25">
      <c r="A975" s="6"/>
      <c r="B975" s="6"/>
      <c r="C975" s="6"/>
      <c r="D975" s="6"/>
      <c r="E975" s="6"/>
      <c r="F975" s="6"/>
    </row>
    <row r="976" spans="1:6" ht="15.75" customHeight="1" x14ac:dyDescent="0.25">
      <c r="A976" s="6"/>
      <c r="B976" s="6"/>
      <c r="C976" s="6"/>
      <c r="D976" s="6"/>
      <c r="E976" s="6"/>
      <c r="F976" s="6"/>
    </row>
    <row r="977" spans="1:6" ht="15.75" customHeight="1" x14ac:dyDescent="0.25">
      <c r="A977" s="6"/>
      <c r="B977" s="6"/>
      <c r="C977" s="6"/>
      <c r="D977" s="6"/>
      <c r="E977" s="6"/>
      <c r="F977" s="6"/>
    </row>
    <row r="978" spans="1:6" ht="15.75" customHeight="1" x14ac:dyDescent="0.25">
      <c r="A978" s="6"/>
      <c r="B978" s="6"/>
      <c r="C978" s="6"/>
      <c r="D978" s="6"/>
      <c r="E978" s="6"/>
      <c r="F978" s="6"/>
    </row>
    <row r="979" spans="1:6" ht="15.75" customHeight="1" x14ac:dyDescent="0.25">
      <c r="A979" s="6"/>
      <c r="B979" s="6"/>
      <c r="C979" s="6"/>
      <c r="D979" s="6"/>
      <c r="E979" s="6"/>
      <c r="F979" s="6"/>
    </row>
    <row r="980" spans="1:6" ht="15.75" customHeight="1" x14ac:dyDescent="0.25">
      <c r="A980" s="6"/>
      <c r="B980" s="6"/>
      <c r="C980" s="6"/>
      <c r="D980" s="6"/>
      <c r="E980" s="6"/>
      <c r="F980" s="6"/>
    </row>
    <row r="981" spans="1:6" ht="15.75" customHeight="1" x14ac:dyDescent="0.25">
      <c r="A981" s="6"/>
      <c r="B981" s="6"/>
      <c r="C981" s="6"/>
      <c r="D981" s="6"/>
      <c r="E981" s="6"/>
      <c r="F981" s="6"/>
    </row>
    <row r="982" spans="1:6" ht="15.75" customHeight="1" x14ac:dyDescent="0.25">
      <c r="A982" s="6"/>
      <c r="B982" s="6"/>
      <c r="C982" s="6"/>
      <c r="D982" s="6"/>
      <c r="E982" s="6"/>
      <c r="F982" s="6"/>
    </row>
    <row r="983" spans="1:6" ht="15.75" customHeight="1" x14ac:dyDescent="0.25">
      <c r="A983" s="6"/>
      <c r="B983" s="6"/>
      <c r="C983" s="6"/>
      <c r="D983" s="6"/>
      <c r="E983" s="6"/>
      <c r="F983" s="6"/>
    </row>
    <row r="984" spans="1:6" ht="15.75" customHeight="1" x14ac:dyDescent="0.25">
      <c r="A984" s="6"/>
      <c r="B984" s="6"/>
      <c r="C984" s="6"/>
      <c r="D984" s="6"/>
      <c r="E984" s="6"/>
      <c r="F984" s="6"/>
    </row>
    <row r="985" spans="1:6" ht="15.75" customHeight="1" x14ac:dyDescent="0.25">
      <c r="A985" s="6"/>
      <c r="B985" s="6"/>
      <c r="C985" s="6"/>
      <c r="D985" s="6"/>
      <c r="E985" s="6"/>
      <c r="F985" s="6"/>
    </row>
    <row r="986" spans="1:6" ht="15.75" customHeight="1" x14ac:dyDescent="0.25">
      <c r="A986" s="6"/>
      <c r="B986" s="6"/>
      <c r="C986" s="6"/>
      <c r="D986" s="6"/>
      <c r="E986" s="6"/>
      <c r="F986" s="6"/>
    </row>
    <row r="987" spans="1:6" ht="15.75" customHeight="1" x14ac:dyDescent="0.25">
      <c r="A987" s="6"/>
      <c r="B987" s="6"/>
      <c r="C987" s="6"/>
      <c r="D987" s="6"/>
      <c r="E987" s="6"/>
      <c r="F987" s="6"/>
    </row>
    <row r="988" spans="1:6" ht="15.75" customHeight="1" x14ac:dyDescent="0.25">
      <c r="A988" s="6"/>
      <c r="B988" s="6"/>
      <c r="C988" s="6"/>
      <c r="D988" s="6"/>
      <c r="E988" s="6"/>
      <c r="F988" s="6"/>
    </row>
    <row r="989" spans="1:6" ht="15.75" customHeight="1" x14ac:dyDescent="0.25">
      <c r="A989" s="6"/>
      <c r="B989" s="6"/>
      <c r="C989" s="6"/>
      <c r="D989" s="6"/>
      <c r="E989" s="6"/>
      <c r="F989" s="6"/>
    </row>
    <row r="990" spans="1:6" ht="15.75" customHeight="1" x14ac:dyDescent="0.25">
      <c r="A990" s="6"/>
      <c r="B990" s="6"/>
      <c r="C990" s="6"/>
      <c r="D990" s="6"/>
      <c r="E990" s="6"/>
      <c r="F990" s="6"/>
    </row>
    <row r="991" spans="1:6" ht="15.75" customHeight="1" x14ac:dyDescent="0.25">
      <c r="A991" s="6"/>
      <c r="B991" s="6"/>
      <c r="C991" s="6"/>
      <c r="D991" s="6"/>
      <c r="E991" s="6"/>
      <c r="F991" s="6"/>
    </row>
    <row r="992" spans="1:6" ht="15.75" customHeight="1" x14ac:dyDescent="0.25">
      <c r="A992" s="6"/>
      <c r="B992" s="6"/>
      <c r="C992" s="6"/>
      <c r="D992" s="6"/>
      <c r="E992" s="6"/>
      <c r="F992" s="6"/>
    </row>
    <row r="993" spans="1:6" ht="15.75" customHeight="1" x14ac:dyDescent="0.25">
      <c r="A993" s="6"/>
      <c r="B993" s="6"/>
      <c r="C993" s="6"/>
      <c r="D993" s="6"/>
      <c r="E993" s="6"/>
      <c r="F993" s="6"/>
    </row>
    <row r="994" spans="1:6" ht="15.75" customHeight="1" x14ac:dyDescent="0.25">
      <c r="A994" s="6"/>
      <c r="B994" s="6"/>
      <c r="C994" s="6"/>
      <c r="D994" s="6"/>
      <c r="E994" s="6"/>
      <c r="F994" s="6"/>
    </row>
    <row r="995" spans="1:6" ht="15.75" customHeight="1" x14ac:dyDescent="0.25">
      <c r="A995" s="6"/>
      <c r="B995" s="6"/>
      <c r="C995" s="6"/>
      <c r="D995" s="6"/>
      <c r="E995" s="6"/>
      <c r="F995" s="6"/>
    </row>
    <row r="996" spans="1:6" ht="15.75" customHeight="1" x14ac:dyDescent="0.25">
      <c r="A996" s="6"/>
      <c r="B996" s="6"/>
      <c r="C996" s="6"/>
      <c r="D996" s="6"/>
      <c r="E996" s="6"/>
      <c r="F996" s="6"/>
    </row>
    <row r="997" spans="1:6" ht="15.75" customHeight="1" x14ac:dyDescent="0.25">
      <c r="A997" s="6"/>
      <c r="B997" s="6"/>
      <c r="C997" s="6"/>
      <c r="D997" s="6"/>
      <c r="E997" s="6"/>
      <c r="F997" s="6"/>
    </row>
    <row r="998" spans="1:6" ht="15.75" customHeight="1" x14ac:dyDescent="0.25">
      <c r="A998" s="6"/>
      <c r="B998" s="6"/>
      <c r="C998" s="6"/>
      <c r="D998" s="6"/>
      <c r="E998" s="6"/>
      <c r="F998" s="6"/>
    </row>
    <row r="999" spans="1:6" ht="15.75" customHeight="1" x14ac:dyDescent="0.25">
      <c r="A999" s="6"/>
      <c r="B999" s="6"/>
      <c r="C999" s="6"/>
      <c r="D999" s="6"/>
      <c r="E999" s="6"/>
      <c r="F999" s="6"/>
    </row>
    <row r="1000" spans="1:6" ht="15.75" customHeight="1" x14ac:dyDescent="0.25">
      <c r="A1000" s="6"/>
      <c r="B1000" s="6"/>
      <c r="C1000" s="6"/>
      <c r="D1000" s="6"/>
      <c r="E1000" s="6"/>
      <c r="F1000" s="6"/>
    </row>
  </sheetData>
  <conditionalFormatting sqref="A2:F161">
    <cfRule type="expression" dxfId="0" priority="1">
      <formula>A2&lt;&gt;""</formula>
    </cfRule>
  </conditionalFormatting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6</vt:i4>
      </vt:variant>
    </vt:vector>
  </HeadingPairs>
  <TitlesOfParts>
    <vt:vector size="10" baseType="lpstr">
      <vt:lpstr>Fluxo de Caixa</vt:lpstr>
      <vt:lpstr>Resumo</vt:lpstr>
      <vt:lpstr>Auxiliar</vt:lpstr>
      <vt:lpstr>Cadastros</vt:lpstr>
      <vt:lpstr>CentroDeCustos</vt:lpstr>
      <vt:lpstr>Contas</vt:lpstr>
      <vt:lpstr>Entradas</vt:lpstr>
      <vt:lpstr>Favorecidos</vt:lpstr>
      <vt:lpstr>Saídas</vt:lpstr>
      <vt:lpstr>Transferências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Amorim</dc:creator>
  <cp:lastModifiedBy>Elci</cp:lastModifiedBy>
  <dcterms:created xsi:type="dcterms:W3CDTF">2020-06-19T16:50:19Z</dcterms:created>
  <dcterms:modified xsi:type="dcterms:W3CDTF">2024-11-11T11:48:04Z</dcterms:modified>
</cp:coreProperties>
</file>